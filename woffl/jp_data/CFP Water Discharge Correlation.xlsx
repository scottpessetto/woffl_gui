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lcorp0-my.sharepoint.com/personal/scott_pessetto_hilcorp_com/Documents/Optimization/CFP Power Fluid/"/>
    </mc:Choice>
  </mc:AlternateContent>
  <xr:revisionPtr revIDLastSave="4" documentId="8_{5270ED49-8782-4BD1-89ED-78D69FD04785}" xr6:coauthVersionLast="47" xr6:coauthVersionMax="47" xr10:uidLastSave="{9A8F5E04-2502-43BE-8943-4C3A35DA13D1}"/>
  <bookViews>
    <workbookView xWindow="-28920" yWindow="-120" windowWidth="29040" windowHeight="17520" xr2:uid="{23E8CC16-2B78-4D47-ADA1-0A38796E9C15}"/>
  </bookViews>
  <sheets>
    <sheet name="inputs" sheetId="1" r:id="rId1"/>
    <sheet name="inputs_dec25" sheetId="5" r:id="rId2"/>
    <sheet name="inputs_dec15" sheetId="4" r:id="rId3"/>
    <sheet name="inputs_dec1" sheetId="3" r:id="rId4"/>
    <sheet name="Summar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4" i="2" l="1"/>
  <c r="AC69" i="2"/>
  <c r="AC70" i="2"/>
  <c r="AC71" i="2"/>
  <c r="AC72" i="2"/>
  <c r="AC73" i="2"/>
  <c r="AC74" i="2"/>
  <c r="AC75" i="2"/>
  <c r="AC76" i="2"/>
  <c r="AC68" i="2"/>
  <c r="AA68" i="2"/>
  <c r="U76" i="2"/>
  <c r="AA76" i="2" s="1"/>
  <c r="U75" i="2"/>
  <c r="U74" i="2"/>
  <c r="AA74" i="2" s="1"/>
  <c r="U73" i="2"/>
  <c r="U72" i="2"/>
  <c r="U71" i="2"/>
  <c r="U70" i="2"/>
  <c r="U69" i="2"/>
  <c r="U68" i="2"/>
  <c r="W76" i="2"/>
  <c r="T76" i="2"/>
  <c r="Z76" i="2" s="1"/>
  <c r="Q76" i="2"/>
  <c r="O76" i="2"/>
  <c r="N76" i="2"/>
  <c r="M76" i="2"/>
  <c r="S76" i="2" s="1"/>
  <c r="Y76" i="2" s="1"/>
  <c r="L76" i="2"/>
  <c r="R76" i="2" s="1"/>
  <c r="X76" i="2" s="1"/>
  <c r="K76" i="2"/>
  <c r="J76" i="2"/>
  <c r="P76" i="2" s="1"/>
  <c r="V76" i="2" s="1"/>
  <c r="H76" i="2"/>
  <c r="G76" i="2"/>
  <c r="F76" i="2"/>
  <c r="I76" i="2" s="1"/>
  <c r="P75" i="2"/>
  <c r="V75" i="2" s="1"/>
  <c r="O75" i="2"/>
  <c r="N75" i="2"/>
  <c r="T75" i="2" s="1"/>
  <c r="Z75" i="2" s="1"/>
  <c r="M75" i="2"/>
  <c r="S75" i="2" s="1"/>
  <c r="Y75" i="2" s="1"/>
  <c r="L75" i="2"/>
  <c r="R75" i="2" s="1"/>
  <c r="X75" i="2" s="1"/>
  <c r="K75" i="2"/>
  <c r="Q75" i="2" s="1"/>
  <c r="W75" i="2" s="1"/>
  <c r="J75" i="2"/>
  <c r="H75" i="2"/>
  <c r="G75" i="2"/>
  <c r="F75" i="2"/>
  <c r="I75" i="2" s="1"/>
  <c r="T74" i="2"/>
  <c r="Z74" i="2" s="1"/>
  <c r="S74" i="2"/>
  <c r="Y74" i="2" s="1"/>
  <c r="R74" i="2"/>
  <c r="X74" i="2" s="1"/>
  <c r="O74" i="2"/>
  <c r="N74" i="2"/>
  <c r="M74" i="2"/>
  <c r="L74" i="2"/>
  <c r="K74" i="2"/>
  <c r="Q74" i="2" s="1"/>
  <c r="W74" i="2" s="1"/>
  <c r="J74" i="2"/>
  <c r="P74" i="2" s="1"/>
  <c r="V74" i="2" s="1"/>
  <c r="H74" i="2"/>
  <c r="G74" i="2"/>
  <c r="F74" i="2"/>
  <c r="I74" i="2" s="1"/>
  <c r="O73" i="2"/>
  <c r="AA73" i="2" s="1"/>
  <c r="N73" i="2"/>
  <c r="T73" i="2" s="1"/>
  <c r="Z73" i="2" s="1"/>
  <c r="M73" i="2"/>
  <c r="S73" i="2" s="1"/>
  <c r="Y73" i="2" s="1"/>
  <c r="L73" i="2"/>
  <c r="R73" i="2" s="1"/>
  <c r="X73" i="2" s="1"/>
  <c r="K73" i="2"/>
  <c r="Q73" i="2" s="1"/>
  <c r="W73" i="2" s="1"/>
  <c r="J73" i="2"/>
  <c r="P73" i="2" s="1"/>
  <c r="V73" i="2" s="1"/>
  <c r="I73" i="2"/>
  <c r="H73" i="2"/>
  <c r="G73" i="2"/>
  <c r="F73" i="2"/>
  <c r="AA72" i="2"/>
  <c r="T72" i="2"/>
  <c r="Z72" i="2" s="1"/>
  <c r="S72" i="2"/>
  <c r="Y72" i="2" s="1"/>
  <c r="R72" i="2"/>
  <c r="X72" i="2" s="1"/>
  <c r="Q72" i="2"/>
  <c r="W72" i="2" s="1"/>
  <c r="P72" i="2"/>
  <c r="V72" i="2" s="1"/>
  <c r="O72" i="2"/>
  <c r="N72" i="2"/>
  <c r="M72" i="2"/>
  <c r="L72" i="2"/>
  <c r="K72" i="2"/>
  <c r="J72" i="2"/>
  <c r="I72" i="2"/>
  <c r="H72" i="2"/>
  <c r="G72" i="2"/>
  <c r="F72" i="2"/>
  <c r="Z71" i="2"/>
  <c r="T71" i="2"/>
  <c r="O71" i="2"/>
  <c r="N71" i="2"/>
  <c r="M71" i="2"/>
  <c r="S71" i="2" s="1"/>
  <c r="Y71" i="2" s="1"/>
  <c r="L71" i="2"/>
  <c r="R71" i="2" s="1"/>
  <c r="X71" i="2" s="1"/>
  <c r="K71" i="2"/>
  <c r="Q71" i="2" s="1"/>
  <c r="W71" i="2" s="1"/>
  <c r="J71" i="2"/>
  <c r="P71" i="2" s="1"/>
  <c r="V71" i="2" s="1"/>
  <c r="H71" i="2"/>
  <c r="G71" i="2"/>
  <c r="I71" i="2" s="1"/>
  <c r="F71" i="2"/>
  <c r="S70" i="2"/>
  <c r="Y70" i="2" s="1"/>
  <c r="R70" i="2"/>
  <c r="X70" i="2" s="1"/>
  <c r="Q70" i="2"/>
  <c r="W70" i="2" s="1"/>
  <c r="P70" i="2"/>
  <c r="V70" i="2" s="1"/>
  <c r="O70" i="2"/>
  <c r="AA70" i="2" s="1"/>
  <c r="N70" i="2"/>
  <c r="T70" i="2" s="1"/>
  <c r="Z70" i="2" s="1"/>
  <c r="M70" i="2"/>
  <c r="L70" i="2"/>
  <c r="K70" i="2"/>
  <c r="J70" i="2"/>
  <c r="H70" i="2"/>
  <c r="G70" i="2"/>
  <c r="I70" i="2" s="1"/>
  <c r="F70" i="2"/>
  <c r="X69" i="2"/>
  <c r="AA69" i="2"/>
  <c r="R69" i="2"/>
  <c r="O69" i="2"/>
  <c r="N69" i="2"/>
  <c r="T69" i="2" s="1"/>
  <c r="Z69" i="2" s="1"/>
  <c r="M69" i="2"/>
  <c r="S69" i="2" s="1"/>
  <c r="Y69" i="2" s="1"/>
  <c r="L69" i="2"/>
  <c r="K69" i="2"/>
  <c r="Q69" i="2" s="1"/>
  <c r="W69" i="2" s="1"/>
  <c r="J69" i="2"/>
  <c r="P69" i="2" s="1"/>
  <c r="V69" i="2" s="1"/>
  <c r="H69" i="2"/>
  <c r="G69" i="2"/>
  <c r="F69" i="2"/>
  <c r="I69" i="2" s="1"/>
  <c r="Q68" i="2"/>
  <c r="W68" i="2" s="1"/>
  <c r="P68" i="2"/>
  <c r="V68" i="2" s="1"/>
  <c r="O68" i="2"/>
  <c r="N68" i="2"/>
  <c r="T68" i="2" s="1"/>
  <c r="Z68" i="2" s="1"/>
  <c r="M68" i="2"/>
  <c r="S68" i="2" s="1"/>
  <c r="Y68" i="2" s="1"/>
  <c r="L68" i="2"/>
  <c r="R68" i="2" s="1"/>
  <c r="X68" i="2" s="1"/>
  <c r="K68" i="2"/>
  <c r="J68" i="2"/>
  <c r="I68" i="2"/>
  <c r="H68" i="2"/>
  <c r="G68" i="2"/>
  <c r="F68" i="2"/>
  <c r="F26" i="2"/>
  <c r="G26" i="2"/>
  <c r="I26" i="2" s="1"/>
  <c r="H26" i="2"/>
  <c r="J26" i="2"/>
  <c r="P26" i="2" s="1"/>
  <c r="V26" i="2" s="1"/>
  <c r="K26" i="2"/>
  <c r="Q26" i="2" s="1"/>
  <c r="W26" i="2" s="1"/>
  <c r="L26" i="2"/>
  <c r="R26" i="2" s="1"/>
  <c r="X26" i="2" s="1"/>
  <c r="M26" i="2"/>
  <c r="S26" i="2" s="1"/>
  <c r="Y26" i="2" s="1"/>
  <c r="N26" i="2"/>
  <c r="T26" i="2" s="1"/>
  <c r="Z26" i="2" s="1"/>
  <c r="O26" i="2"/>
  <c r="U26" i="2"/>
  <c r="AA26" i="2" s="1"/>
  <c r="F27" i="2"/>
  <c r="G27" i="2"/>
  <c r="H27" i="2"/>
  <c r="J27" i="2"/>
  <c r="K27" i="2"/>
  <c r="L27" i="2"/>
  <c r="R27" i="2" s="1"/>
  <c r="X27" i="2" s="1"/>
  <c r="M27" i="2"/>
  <c r="S27" i="2" s="1"/>
  <c r="Y27" i="2" s="1"/>
  <c r="N27" i="2"/>
  <c r="T27" i="2" s="1"/>
  <c r="Z27" i="2" s="1"/>
  <c r="O27" i="2"/>
  <c r="U27" i="2" s="1"/>
  <c r="AA27" i="2" s="1"/>
  <c r="P27" i="2"/>
  <c r="V27" i="2" s="1"/>
  <c r="Q27" i="2"/>
  <c r="W27" i="2"/>
  <c r="F28" i="2"/>
  <c r="G28" i="2"/>
  <c r="H28" i="2"/>
  <c r="J28" i="2"/>
  <c r="K28" i="2"/>
  <c r="Q28" i="2" s="1"/>
  <c r="W28" i="2" s="1"/>
  <c r="L28" i="2"/>
  <c r="R28" i="2" s="1"/>
  <c r="X28" i="2" s="1"/>
  <c r="M28" i="2"/>
  <c r="N28" i="2"/>
  <c r="T28" i="2" s="1"/>
  <c r="Z28" i="2" s="1"/>
  <c r="O28" i="2"/>
  <c r="U28" i="2" s="1"/>
  <c r="AA28" i="2" s="1"/>
  <c r="P28" i="2"/>
  <c r="V28" i="2" s="1"/>
  <c r="S28" i="2"/>
  <c r="Y28" i="2" s="1"/>
  <c r="F29" i="2"/>
  <c r="G29" i="2"/>
  <c r="H29" i="2"/>
  <c r="I29" i="2"/>
  <c r="J29" i="2"/>
  <c r="P29" i="2" s="1"/>
  <c r="V29" i="2" s="1"/>
  <c r="K29" i="2"/>
  <c r="Q29" i="2" s="1"/>
  <c r="W29" i="2" s="1"/>
  <c r="L29" i="2"/>
  <c r="R29" i="2" s="1"/>
  <c r="X29" i="2" s="1"/>
  <c r="M29" i="2"/>
  <c r="N29" i="2"/>
  <c r="O29" i="2"/>
  <c r="U29" i="2" s="1"/>
  <c r="AA29" i="2" s="1"/>
  <c r="S29" i="2"/>
  <c r="Y29" i="2" s="1"/>
  <c r="T29" i="2"/>
  <c r="Z29" i="2" s="1"/>
  <c r="F30" i="2"/>
  <c r="G30" i="2"/>
  <c r="H30" i="2"/>
  <c r="I30" i="2"/>
  <c r="J30" i="2"/>
  <c r="K30" i="2"/>
  <c r="L30" i="2"/>
  <c r="R30" i="2" s="1"/>
  <c r="X30" i="2" s="1"/>
  <c r="M30" i="2"/>
  <c r="S30" i="2" s="1"/>
  <c r="Y30" i="2" s="1"/>
  <c r="N30" i="2"/>
  <c r="T30" i="2" s="1"/>
  <c r="Z30" i="2" s="1"/>
  <c r="O30" i="2"/>
  <c r="U30" i="2" s="1"/>
  <c r="AA30" i="2" s="1"/>
  <c r="P30" i="2"/>
  <c r="V30" i="2" s="1"/>
  <c r="Q30" i="2"/>
  <c r="W30" i="2" s="1"/>
  <c r="F31" i="2"/>
  <c r="G31" i="2"/>
  <c r="H31" i="2"/>
  <c r="J31" i="2"/>
  <c r="P31" i="2" s="1"/>
  <c r="V31" i="2" s="1"/>
  <c r="K31" i="2"/>
  <c r="Q31" i="2" s="1"/>
  <c r="W31" i="2" s="1"/>
  <c r="L31" i="2"/>
  <c r="M31" i="2"/>
  <c r="S31" i="2" s="1"/>
  <c r="Y31" i="2" s="1"/>
  <c r="N31" i="2"/>
  <c r="O31" i="2"/>
  <c r="R31" i="2"/>
  <c r="X31" i="2" s="1"/>
  <c r="T31" i="2"/>
  <c r="Z31" i="2" s="1"/>
  <c r="U31" i="2"/>
  <c r="AA31" i="2" s="1"/>
  <c r="F32" i="2"/>
  <c r="G32" i="2"/>
  <c r="H32" i="2"/>
  <c r="I32" i="2"/>
  <c r="J32" i="2"/>
  <c r="P32" i="2" s="1"/>
  <c r="V32" i="2" s="1"/>
  <c r="K32" i="2"/>
  <c r="Q32" i="2" s="1"/>
  <c r="W32" i="2" s="1"/>
  <c r="L32" i="2"/>
  <c r="M32" i="2"/>
  <c r="N32" i="2"/>
  <c r="O32" i="2"/>
  <c r="U32" i="2" s="1"/>
  <c r="AA32" i="2" s="1"/>
  <c r="R32" i="2"/>
  <c r="X32" i="2" s="1"/>
  <c r="S32" i="2"/>
  <c r="Y32" i="2" s="1"/>
  <c r="T32" i="2"/>
  <c r="Z32" i="2" s="1"/>
  <c r="F33" i="2"/>
  <c r="G33" i="2"/>
  <c r="H33" i="2"/>
  <c r="I33" i="2"/>
  <c r="J33" i="2"/>
  <c r="P33" i="2" s="1"/>
  <c r="V33" i="2" s="1"/>
  <c r="K33" i="2"/>
  <c r="Q33" i="2" s="1"/>
  <c r="W33" i="2" s="1"/>
  <c r="L33" i="2"/>
  <c r="R33" i="2" s="1"/>
  <c r="X33" i="2" s="1"/>
  <c r="M33" i="2"/>
  <c r="S33" i="2" s="1"/>
  <c r="Y33" i="2" s="1"/>
  <c r="N33" i="2"/>
  <c r="T33" i="2" s="1"/>
  <c r="Z33" i="2" s="1"/>
  <c r="O33" i="2"/>
  <c r="U33" i="2"/>
  <c r="AA33" i="2"/>
  <c r="F34" i="2"/>
  <c r="I34" i="2" s="1"/>
  <c r="G34" i="2"/>
  <c r="H34" i="2"/>
  <c r="J34" i="2"/>
  <c r="K34" i="2"/>
  <c r="Q34" i="2" s="1"/>
  <c r="W34" i="2" s="1"/>
  <c r="L34" i="2"/>
  <c r="R34" i="2" s="1"/>
  <c r="X34" i="2" s="1"/>
  <c r="M34" i="2"/>
  <c r="S34" i="2" s="1"/>
  <c r="Y34" i="2" s="1"/>
  <c r="N34" i="2"/>
  <c r="T34" i="2" s="1"/>
  <c r="Z34" i="2" s="1"/>
  <c r="O34" i="2"/>
  <c r="P34" i="2"/>
  <c r="U34" i="2"/>
  <c r="AA34" i="2" s="1"/>
  <c r="V34" i="2"/>
  <c r="F39" i="2"/>
  <c r="G39" i="2"/>
  <c r="H39" i="2"/>
  <c r="J39" i="2"/>
  <c r="P39" i="2" s="1"/>
  <c r="V39" i="2" s="1"/>
  <c r="K39" i="2"/>
  <c r="Q39" i="2" s="1"/>
  <c r="W39" i="2" s="1"/>
  <c r="L39" i="2"/>
  <c r="R39" i="2" s="1"/>
  <c r="X39" i="2" s="1"/>
  <c r="M39" i="2"/>
  <c r="S39" i="2" s="1"/>
  <c r="Y39" i="2" s="1"/>
  <c r="N39" i="2"/>
  <c r="T39" i="2" s="1"/>
  <c r="Z39" i="2" s="1"/>
  <c r="O39" i="2"/>
  <c r="U39" i="2" s="1"/>
  <c r="AA39" i="2" s="1"/>
  <c r="F40" i="2"/>
  <c r="G40" i="2"/>
  <c r="H40" i="2"/>
  <c r="J40" i="2"/>
  <c r="P40" i="2" s="1"/>
  <c r="V40" i="2" s="1"/>
  <c r="K40" i="2"/>
  <c r="L40" i="2"/>
  <c r="R40" i="2" s="1"/>
  <c r="X40" i="2" s="1"/>
  <c r="M40" i="2"/>
  <c r="S40" i="2" s="1"/>
  <c r="Y40" i="2" s="1"/>
  <c r="N40" i="2"/>
  <c r="T40" i="2" s="1"/>
  <c r="Z40" i="2" s="1"/>
  <c r="O40" i="2"/>
  <c r="U40" i="2" s="1"/>
  <c r="AA40" i="2" s="1"/>
  <c r="Q40" i="2"/>
  <c r="W40" i="2" s="1"/>
  <c r="F41" i="2"/>
  <c r="G41" i="2"/>
  <c r="H41" i="2"/>
  <c r="J41" i="2"/>
  <c r="P41" i="2" s="1"/>
  <c r="V41" i="2" s="1"/>
  <c r="K41" i="2"/>
  <c r="Q41" i="2" s="1"/>
  <c r="W41" i="2" s="1"/>
  <c r="L41" i="2"/>
  <c r="R41" i="2" s="1"/>
  <c r="X41" i="2" s="1"/>
  <c r="M41" i="2"/>
  <c r="S41" i="2" s="1"/>
  <c r="Y41" i="2" s="1"/>
  <c r="N41" i="2"/>
  <c r="T41" i="2" s="1"/>
  <c r="Z41" i="2" s="1"/>
  <c r="O41" i="2"/>
  <c r="U41" i="2" s="1"/>
  <c r="AA41" i="2" s="1"/>
  <c r="F42" i="2"/>
  <c r="G42" i="2"/>
  <c r="H42" i="2"/>
  <c r="J42" i="2"/>
  <c r="P42" i="2" s="1"/>
  <c r="V42" i="2" s="1"/>
  <c r="K42" i="2"/>
  <c r="Q42" i="2" s="1"/>
  <c r="W42" i="2" s="1"/>
  <c r="L42" i="2"/>
  <c r="R42" i="2" s="1"/>
  <c r="X42" i="2" s="1"/>
  <c r="M42" i="2"/>
  <c r="S42" i="2" s="1"/>
  <c r="Y42" i="2" s="1"/>
  <c r="N42" i="2"/>
  <c r="T42" i="2" s="1"/>
  <c r="Z42" i="2" s="1"/>
  <c r="O42" i="2"/>
  <c r="U42" i="2" s="1"/>
  <c r="AA42" i="2" s="1"/>
  <c r="F43" i="2"/>
  <c r="G43" i="2"/>
  <c r="H43" i="2"/>
  <c r="J43" i="2"/>
  <c r="P43" i="2" s="1"/>
  <c r="V43" i="2" s="1"/>
  <c r="K43" i="2"/>
  <c r="Q43" i="2" s="1"/>
  <c r="W43" i="2" s="1"/>
  <c r="L43" i="2"/>
  <c r="R43" i="2" s="1"/>
  <c r="X43" i="2" s="1"/>
  <c r="M43" i="2"/>
  <c r="S43" i="2" s="1"/>
  <c r="Y43" i="2" s="1"/>
  <c r="N43" i="2"/>
  <c r="T43" i="2" s="1"/>
  <c r="Z43" i="2" s="1"/>
  <c r="O43" i="2"/>
  <c r="U43" i="2" s="1"/>
  <c r="AA43" i="2" s="1"/>
  <c r="F44" i="2"/>
  <c r="G44" i="2"/>
  <c r="H44" i="2"/>
  <c r="J44" i="2"/>
  <c r="P44" i="2" s="1"/>
  <c r="V44" i="2" s="1"/>
  <c r="K44" i="2"/>
  <c r="Q44" i="2" s="1"/>
  <c r="W44" i="2" s="1"/>
  <c r="L44" i="2"/>
  <c r="R44" i="2" s="1"/>
  <c r="X44" i="2" s="1"/>
  <c r="M44" i="2"/>
  <c r="S44" i="2" s="1"/>
  <c r="Y44" i="2" s="1"/>
  <c r="N44" i="2"/>
  <c r="T44" i="2" s="1"/>
  <c r="Z44" i="2" s="1"/>
  <c r="O44" i="2"/>
  <c r="U44" i="2" s="1"/>
  <c r="AA44" i="2" s="1"/>
  <c r="F45" i="2"/>
  <c r="G45" i="2"/>
  <c r="H45" i="2"/>
  <c r="J45" i="2"/>
  <c r="P45" i="2" s="1"/>
  <c r="V45" i="2" s="1"/>
  <c r="K45" i="2"/>
  <c r="Q45" i="2" s="1"/>
  <c r="W45" i="2" s="1"/>
  <c r="L45" i="2"/>
  <c r="R45" i="2" s="1"/>
  <c r="X45" i="2" s="1"/>
  <c r="M45" i="2"/>
  <c r="S45" i="2" s="1"/>
  <c r="Y45" i="2" s="1"/>
  <c r="N45" i="2"/>
  <c r="O45" i="2"/>
  <c r="U45" i="2" s="1"/>
  <c r="AA45" i="2" s="1"/>
  <c r="T45" i="2"/>
  <c r="Z45" i="2" s="1"/>
  <c r="F46" i="2"/>
  <c r="G46" i="2"/>
  <c r="H46" i="2"/>
  <c r="I46" i="2" s="1"/>
  <c r="J46" i="2"/>
  <c r="P46" i="2" s="1"/>
  <c r="V46" i="2" s="1"/>
  <c r="K46" i="2"/>
  <c r="Q46" i="2" s="1"/>
  <c r="W46" i="2" s="1"/>
  <c r="L46" i="2"/>
  <c r="R46" i="2" s="1"/>
  <c r="X46" i="2" s="1"/>
  <c r="M46" i="2"/>
  <c r="S46" i="2" s="1"/>
  <c r="Y46" i="2" s="1"/>
  <c r="N46" i="2"/>
  <c r="T46" i="2" s="1"/>
  <c r="Z46" i="2" s="1"/>
  <c r="O46" i="2"/>
  <c r="U46" i="2" s="1"/>
  <c r="AA46" i="2" s="1"/>
  <c r="F47" i="2"/>
  <c r="G47" i="2"/>
  <c r="H47" i="2"/>
  <c r="J47" i="2"/>
  <c r="K47" i="2"/>
  <c r="Q47" i="2" s="1"/>
  <c r="W47" i="2" s="1"/>
  <c r="L47" i="2"/>
  <c r="R47" i="2" s="1"/>
  <c r="X47" i="2" s="1"/>
  <c r="M47" i="2"/>
  <c r="S47" i="2" s="1"/>
  <c r="Y47" i="2" s="1"/>
  <c r="N47" i="2"/>
  <c r="T47" i="2" s="1"/>
  <c r="Z47" i="2" s="1"/>
  <c r="O47" i="2"/>
  <c r="U47" i="2" s="1"/>
  <c r="AA47" i="2" s="1"/>
  <c r="P47" i="2"/>
  <c r="V47" i="2" s="1"/>
  <c r="F53" i="2"/>
  <c r="G53" i="2"/>
  <c r="H53" i="2"/>
  <c r="J53" i="2"/>
  <c r="P53" i="2" s="1"/>
  <c r="V53" i="2" s="1"/>
  <c r="K53" i="2"/>
  <c r="Q53" i="2" s="1"/>
  <c r="W53" i="2" s="1"/>
  <c r="L53" i="2"/>
  <c r="R53" i="2" s="1"/>
  <c r="X53" i="2" s="1"/>
  <c r="M53" i="2"/>
  <c r="S53" i="2" s="1"/>
  <c r="Y53" i="2" s="1"/>
  <c r="N53" i="2"/>
  <c r="T53" i="2" s="1"/>
  <c r="Z53" i="2" s="1"/>
  <c r="O53" i="2"/>
  <c r="U53" i="2" s="1"/>
  <c r="AA53" i="2" s="1"/>
  <c r="F54" i="2"/>
  <c r="G54" i="2"/>
  <c r="H54" i="2"/>
  <c r="J54" i="2"/>
  <c r="P54" i="2" s="1"/>
  <c r="V54" i="2" s="1"/>
  <c r="K54" i="2"/>
  <c r="Q54" i="2" s="1"/>
  <c r="W54" i="2" s="1"/>
  <c r="L54" i="2"/>
  <c r="R54" i="2" s="1"/>
  <c r="X54" i="2" s="1"/>
  <c r="M54" i="2"/>
  <c r="S54" i="2" s="1"/>
  <c r="Y54" i="2" s="1"/>
  <c r="N54" i="2"/>
  <c r="T54" i="2" s="1"/>
  <c r="Z54" i="2" s="1"/>
  <c r="O54" i="2"/>
  <c r="U54" i="2" s="1"/>
  <c r="AA54" i="2" s="1"/>
  <c r="F55" i="2"/>
  <c r="G55" i="2"/>
  <c r="H55" i="2"/>
  <c r="J55" i="2"/>
  <c r="P55" i="2" s="1"/>
  <c r="V55" i="2" s="1"/>
  <c r="K55" i="2"/>
  <c r="Q55" i="2" s="1"/>
  <c r="W55" i="2" s="1"/>
  <c r="L55" i="2"/>
  <c r="R55" i="2" s="1"/>
  <c r="X55" i="2" s="1"/>
  <c r="M55" i="2"/>
  <c r="S55" i="2" s="1"/>
  <c r="Y55" i="2" s="1"/>
  <c r="N55" i="2"/>
  <c r="T55" i="2" s="1"/>
  <c r="Z55" i="2" s="1"/>
  <c r="O55" i="2"/>
  <c r="U55" i="2" s="1"/>
  <c r="AA55" i="2" s="1"/>
  <c r="F56" i="2"/>
  <c r="G56" i="2"/>
  <c r="H56" i="2"/>
  <c r="J56" i="2"/>
  <c r="P56" i="2" s="1"/>
  <c r="V56" i="2" s="1"/>
  <c r="K56" i="2"/>
  <c r="Q56" i="2" s="1"/>
  <c r="W56" i="2" s="1"/>
  <c r="L56" i="2"/>
  <c r="R56" i="2" s="1"/>
  <c r="X56" i="2" s="1"/>
  <c r="M56" i="2"/>
  <c r="S56" i="2" s="1"/>
  <c r="Y56" i="2" s="1"/>
  <c r="N56" i="2"/>
  <c r="T56" i="2" s="1"/>
  <c r="Z56" i="2" s="1"/>
  <c r="O56" i="2"/>
  <c r="U56" i="2" s="1"/>
  <c r="AA56" i="2" s="1"/>
  <c r="F57" i="2"/>
  <c r="G57" i="2"/>
  <c r="H57" i="2"/>
  <c r="J57" i="2"/>
  <c r="P57" i="2" s="1"/>
  <c r="V57" i="2" s="1"/>
  <c r="K57" i="2"/>
  <c r="Q57" i="2" s="1"/>
  <c r="W57" i="2" s="1"/>
  <c r="L57" i="2"/>
  <c r="R57" i="2" s="1"/>
  <c r="X57" i="2" s="1"/>
  <c r="M57" i="2"/>
  <c r="S57" i="2" s="1"/>
  <c r="Y57" i="2" s="1"/>
  <c r="N57" i="2"/>
  <c r="T57" i="2" s="1"/>
  <c r="Z57" i="2" s="1"/>
  <c r="O57" i="2"/>
  <c r="U57" i="2" s="1"/>
  <c r="AA57" i="2" s="1"/>
  <c r="F58" i="2"/>
  <c r="G58" i="2"/>
  <c r="H58" i="2"/>
  <c r="J58" i="2"/>
  <c r="P58" i="2" s="1"/>
  <c r="V58" i="2" s="1"/>
  <c r="K58" i="2"/>
  <c r="Q58" i="2" s="1"/>
  <c r="W58" i="2" s="1"/>
  <c r="L58" i="2"/>
  <c r="R58" i="2" s="1"/>
  <c r="X58" i="2" s="1"/>
  <c r="M58" i="2"/>
  <c r="S58" i="2" s="1"/>
  <c r="Y58" i="2" s="1"/>
  <c r="N58" i="2"/>
  <c r="T58" i="2" s="1"/>
  <c r="Z58" i="2" s="1"/>
  <c r="O58" i="2"/>
  <c r="U58" i="2" s="1"/>
  <c r="AA58" i="2" s="1"/>
  <c r="F59" i="2"/>
  <c r="G59" i="2"/>
  <c r="H59" i="2"/>
  <c r="J59" i="2"/>
  <c r="P59" i="2" s="1"/>
  <c r="V59" i="2" s="1"/>
  <c r="K59" i="2"/>
  <c r="Q59" i="2" s="1"/>
  <c r="W59" i="2" s="1"/>
  <c r="L59" i="2"/>
  <c r="R59" i="2" s="1"/>
  <c r="X59" i="2" s="1"/>
  <c r="M59" i="2"/>
  <c r="S59" i="2" s="1"/>
  <c r="Y59" i="2" s="1"/>
  <c r="N59" i="2"/>
  <c r="T59" i="2" s="1"/>
  <c r="Z59" i="2" s="1"/>
  <c r="O59" i="2"/>
  <c r="U59" i="2" s="1"/>
  <c r="AA59" i="2" s="1"/>
  <c r="F60" i="2"/>
  <c r="G60" i="2"/>
  <c r="H60" i="2"/>
  <c r="J60" i="2"/>
  <c r="P60" i="2" s="1"/>
  <c r="V60" i="2" s="1"/>
  <c r="K60" i="2"/>
  <c r="Q60" i="2" s="1"/>
  <c r="W60" i="2" s="1"/>
  <c r="L60" i="2"/>
  <c r="R60" i="2" s="1"/>
  <c r="X60" i="2" s="1"/>
  <c r="M60" i="2"/>
  <c r="S60" i="2" s="1"/>
  <c r="Y60" i="2" s="1"/>
  <c r="N60" i="2"/>
  <c r="T60" i="2" s="1"/>
  <c r="Z60" i="2" s="1"/>
  <c r="O60" i="2"/>
  <c r="U60" i="2" s="1"/>
  <c r="AA60" i="2" s="1"/>
  <c r="F61" i="2"/>
  <c r="G61" i="2"/>
  <c r="H61" i="2"/>
  <c r="J61" i="2"/>
  <c r="P61" i="2" s="1"/>
  <c r="V61" i="2" s="1"/>
  <c r="K61" i="2"/>
  <c r="Q61" i="2" s="1"/>
  <c r="W61" i="2" s="1"/>
  <c r="L61" i="2"/>
  <c r="R61" i="2" s="1"/>
  <c r="X61" i="2" s="1"/>
  <c r="M61" i="2"/>
  <c r="S61" i="2" s="1"/>
  <c r="Y61" i="2" s="1"/>
  <c r="N61" i="2"/>
  <c r="T61" i="2" s="1"/>
  <c r="Z61" i="2" s="1"/>
  <c r="O61" i="2"/>
  <c r="U61" i="2" s="1"/>
  <c r="AA61" i="2" s="1"/>
  <c r="B57" i="5"/>
  <c r="B56" i="5"/>
  <c r="B55" i="5"/>
  <c r="B54" i="5"/>
  <c r="E29" i="5"/>
  <c r="T25" i="5"/>
  <c r="S25" i="5"/>
  <c r="R25" i="5"/>
  <c r="Q25" i="5"/>
  <c r="N25" i="5"/>
  <c r="M25" i="5"/>
  <c r="L25" i="5"/>
  <c r="K25" i="5"/>
  <c r="T24" i="5"/>
  <c r="S24" i="5"/>
  <c r="R24" i="5"/>
  <c r="Q24" i="5"/>
  <c r="N24" i="5"/>
  <c r="M24" i="5"/>
  <c r="L24" i="5"/>
  <c r="K24" i="5"/>
  <c r="T23" i="5"/>
  <c r="S23" i="5"/>
  <c r="R23" i="5"/>
  <c r="Q23" i="5"/>
  <c r="N23" i="5"/>
  <c r="M23" i="5"/>
  <c r="L23" i="5"/>
  <c r="K23" i="5"/>
  <c r="T22" i="5"/>
  <c r="S22" i="5"/>
  <c r="R22" i="5"/>
  <c r="Q22" i="5"/>
  <c r="N22" i="5"/>
  <c r="M22" i="5"/>
  <c r="L22" i="5"/>
  <c r="K22" i="5"/>
  <c r="T21" i="5"/>
  <c r="S21" i="5"/>
  <c r="R21" i="5"/>
  <c r="Q21" i="5"/>
  <c r="N21" i="5"/>
  <c r="M21" i="5"/>
  <c r="L21" i="5"/>
  <c r="K21" i="5"/>
  <c r="T20" i="5"/>
  <c r="S20" i="5"/>
  <c r="R20" i="5"/>
  <c r="Q20" i="5"/>
  <c r="N20" i="5"/>
  <c r="M20" i="5"/>
  <c r="L20" i="5"/>
  <c r="K20" i="5"/>
  <c r="T19" i="5"/>
  <c r="S19" i="5"/>
  <c r="R19" i="5"/>
  <c r="Q19" i="5"/>
  <c r="N19" i="5"/>
  <c r="M19" i="5"/>
  <c r="L19" i="5"/>
  <c r="K19" i="5"/>
  <c r="T18" i="5"/>
  <c r="S18" i="5"/>
  <c r="R18" i="5"/>
  <c r="Q18" i="5"/>
  <c r="N18" i="5"/>
  <c r="M18" i="5"/>
  <c r="L18" i="5"/>
  <c r="K18" i="5"/>
  <c r="T17" i="5"/>
  <c r="S17" i="5"/>
  <c r="R17" i="5"/>
  <c r="Q17" i="5"/>
  <c r="N17" i="5"/>
  <c r="M17" i="5"/>
  <c r="L17" i="5"/>
  <c r="K17" i="5"/>
  <c r="T16" i="5"/>
  <c r="S16" i="5"/>
  <c r="R16" i="5"/>
  <c r="Q16" i="5"/>
  <c r="N16" i="5"/>
  <c r="M16" i="5"/>
  <c r="L16" i="5"/>
  <c r="K16" i="5"/>
  <c r="T15" i="5"/>
  <c r="S15" i="5"/>
  <c r="R15" i="5"/>
  <c r="Q15" i="5"/>
  <c r="N15" i="5"/>
  <c r="M15" i="5"/>
  <c r="L15" i="5"/>
  <c r="K15" i="5"/>
  <c r="B58" i="4"/>
  <c r="B57" i="4"/>
  <c r="B56" i="4"/>
  <c r="B55" i="4"/>
  <c r="E29" i="4"/>
  <c r="T25" i="4"/>
  <c r="S25" i="4"/>
  <c r="R25" i="4"/>
  <c r="Q25" i="4"/>
  <c r="N25" i="4"/>
  <c r="M25" i="4"/>
  <c r="L25" i="4"/>
  <c r="K25" i="4"/>
  <c r="T24" i="4"/>
  <c r="S24" i="4"/>
  <c r="R24" i="4"/>
  <c r="Q24" i="4"/>
  <c r="N24" i="4"/>
  <c r="M24" i="4"/>
  <c r="L24" i="4"/>
  <c r="K24" i="4"/>
  <c r="T23" i="4"/>
  <c r="S23" i="4"/>
  <c r="R23" i="4"/>
  <c r="Q23" i="4"/>
  <c r="N23" i="4"/>
  <c r="M23" i="4"/>
  <c r="L23" i="4"/>
  <c r="K23" i="4"/>
  <c r="T22" i="4"/>
  <c r="S22" i="4"/>
  <c r="R22" i="4"/>
  <c r="Q22" i="4"/>
  <c r="N22" i="4"/>
  <c r="M22" i="4"/>
  <c r="L22" i="4"/>
  <c r="K22" i="4"/>
  <c r="T21" i="4"/>
  <c r="S21" i="4"/>
  <c r="R21" i="4"/>
  <c r="Q21" i="4"/>
  <c r="N21" i="4"/>
  <c r="M21" i="4"/>
  <c r="L21" i="4"/>
  <c r="K21" i="4"/>
  <c r="T20" i="4"/>
  <c r="S20" i="4"/>
  <c r="R20" i="4"/>
  <c r="Q20" i="4"/>
  <c r="N20" i="4"/>
  <c r="M20" i="4"/>
  <c r="L20" i="4"/>
  <c r="K20" i="4"/>
  <c r="T19" i="4"/>
  <c r="S19" i="4"/>
  <c r="R19" i="4"/>
  <c r="Q19" i="4"/>
  <c r="N19" i="4"/>
  <c r="M19" i="4"/>
  <c r="L19" i="4"/>
  <c r="K19" i="4"/>
  <c r="T18" i="4"/>
  <c r="S18" i="4"/>
  <c r="R18" i="4"/>
  <c r="Q18" i="4"/>
  <c r="N18" i="4"/>
  <c r="M18" i="4"/>
  <c r="L18" i="4"/>
  <c r="K18" i="4"/>
  <c r="T17" i="4"/>
  <c r="S17" i="4"/>
  <c r="R17" i="4"/>
  <c r="Q17" i="4"/>
  <c r="N17" i="4"/>
  <c r="M17" i="4"/>
  <c r="L17" i="4"/>
  <c r="K17" i="4"/>
  <c r="T16" i="4"/>
  <c r="S16" i="4"/>
  <c r="R16" i="4"/>
  <c r="Q16" i="4"/>
  <c r="N16" i="4"/>
  <c r="M16" i="4"/>
  <c r="L16" i="4"/>
  <c r="K16" i="4"/>
  <c r="T15" i="4"/>
  <c r="S15" i="4"/>
  <c r="R15" i="4"/>
  <c r="Q15" i="4"/>
  <c r="N15" i="4"/>
  <c r="M15" i="4"/>
  <c r="L15" i="4"/>
  <c r="K15" i="4"/>
  <c r="B57" i="3"/>
  <c r="B56" i="3"/>
  <c r="B55" i="3"/>
  <c r="B54" i="3"/>
  <c r="E29" i="3"/>
  <c r="T25" i="3"/>
  <c r="S25" i="3"/>
  <c r="R25" i="3"/>
  <c r="Q25" i="3"/>
  <c r="N25" i="3"/>
  <c r="M25" i="3"/>
  <c r="L25" i="3"/>
  <c r="K25" i="3"/>
  <c r="T24" i="3"/>
  <c r="S24" i="3"/>
  <c r="R24" i="3"/>
  <c r="Q24" i="3"/>
  <c r="N24" i="3"/>
  <c r="M24" i="3"/>
  <c r="L24" i="3"/>
  <c r="K24" i="3"/>
  <c r="T23" i="3"/>
  <c r="S23" i="3"/>
  <c r="R23" i="3"/>
  <c r="Q23" i="3"/>
  <c r="N23" i="3"/>
  <c r="M23" i="3"/>
  <c r="L23" i="3"/>
  <c r="K23" i="3"/>
  <c r="T22" i="3"/>
  <c r="S22" i="3"/>
  <c r="R22" i="3"/>
  <c r="Q22" i="3"/>
  <c r="N22" i="3"/>
  <c r="M22" i="3"/>
  <c r="L22" i="3"/>
  <c r="K22" i="3"/>
  <c r="T21" i="3"/>
  <c r="S21" i="3"/>
  <c r="R21" i="3"/>
  <c r="Q21" i="3"/>
  <c r="N21" i="3"/>
  <c r="M21" i="3"/>
  <c r="L21" i="3"/>
  <c r="K21" i="3"/>
  <c r="T20" i="3"/>
  <c r="S20" i="3"/>
  <c r="R20" i="3"/>
  <c r="Q20" i="3"/>
  <c r="N20" i="3"/>
  <c r="M20" i="3"/>
  <c r="L20" i="3"/>
  <c r="K20" i="3"/>
  <c r="T19" i="3"/>
  <c r="S19" i="3"/>
  <c r="R19" i="3"/>
  <c r="Q19" i="3"/>
  <c r="N19" i="3"/>
  <c r="M19" i="3"/>
  <c r="L19" i="3"/>
  <c r="K19" i="3"/>
  <c r="T18" i="3"/>
  <c r="S18" i="3"/>
  <c r="R18" i="3"/>
  <c r="Q18" i="3"/>
  <c r="N18" i="3"/>
  <c r="M18" i="3"/>
  <c r="L18" i="3"/>
  <c r="K18" i="3"/>
  <c r="T17" i="3"/>
  <c r="S17" i="3"/>
  <c r="R17" i="3"/>
  <c r="Q17" i="3"/>
  <c r="N17" i="3"/>
  <c r="M17" i="3"/>
  <c r="L17" i="3"/>
  <c r="K17" i="3"/>
  <c r="T16" i="3"/>
  <c r="S16" i="3"/>
  <c r="R16" i="3"/>
  <c r="Q16" i="3"/>
  <c r="N16" i="3"/>
  <c r="M16" i="3"/>
  <c r="L16" i="3"/>
  <c r="K16" i="3"/>
  <c r="T15" i="3"/>
  <c r="S15" i="3"/>
  <c r="R15" i="3"/>
  <c r="Q15" i="3"/>
  <c r="N15" i="3"/>
  <c r="M15" i="3"/>
  <c r="L15" i="3"/>
  <c r="K15" i="3"/>
  <c r="AA71" i="2" l="1"/>
  <c r="AA75" i="2"/>
  <c r="I27" i="2"/>
  <c r="I31" i="2"/>
  <c r="I28" i="2"/>
  <c r="AC34" i="2"/>
  <c r="AC28" i="2"/>
  <c r="AC30" i="2"/>
  <c r="AC26" i="2"/>
  <c r="AC29" i="2"/>
  <c r="AC33" i="2"/>
  <c r="AC27" i="2"/>
  <c r="AC32" i="2"/>
  <c r="AC31" i="2"/>
  <c r="I53" i="2"/>
  <c r="AC41" i="2"/>
  <c r="I59" i="2"/>
  <c r="I57" i="2"/>
  <c r="I39" i="2"/>
  <c r="I43" i="2"/>
  <c r="I58" i="2"/>
  <c r="I60" i="2"/>
  <c r="I44" i="2"/>
  <c r="AC56" i="2"/>
  <c r="I40" i="2"/>
  <c r="I56" i="2"/>
  <c r="I41" i="2"/>
  <c r="I61" i="2"/>
  <c r="I45" i="2"/>
  <c r="AC60" i="2"/>
  <c r="I42" i="2"/>
  <c r="I47" i="2"/>
  <c r="AC47" i="2"/>
  <c r="I55" i="2"/>
  <c r="I54" i="2"/>
  <c r="AC42" i="2"/>
  <c r="AC43" i="2"/>
  <c r="AC45" i="2"/>
  <c r="AC46" i="2"/>
  <c r="AC44" i="2"/>
  <c r="AC40" i="2"/>
  <c r="AC39" i="2"/>
  <c r="AC53" i="2"/>
  <c r="AC59" i="2"/>
  <c r="AC54" i="2"/>
  <c r="AC61" i="2"/>
  <c r="AC57" i="2"/>
  <c r="AC58" i="2"/>
  <c r="AC55" i="2"/>
  <c r="AI3" i="3" l="1"/>
  <c r="AI3" i="5"/>
  <c r="AI5" i="5"/>
  <c r="AI7" i="5"/>
  <c r="AI11" i="5"/>
  <c r="AI4" i="5"/>
  <c r="AI9" i="3"/>
  <c r="AI11" i="3"/>
  <c r="AH11" i="4"/>
  <c r="AI9" i="5" l="1"/>
  <c r="AI8" i="5"/>
  <c r="AI10" i="5"/>
  <c r="AI5" i="3"/>
  <c r="AI4" i="3"/>
  <c r="AI10" i="3"/>
  <c r="AI8" i="3"/>
  <c r="AI6" i="3"/>
  <c r="AI6" i="5"/>
  <c r="AH3" i="4"/>
  <c r="AH10" i="4"/>
  <c r="AH8" i="4"/>
  <c r="AH6" i="4"/>
  <c r="AH7" i="4"/>
  <c r="AI7" i="3"/>
  <c r="AH5" i="4"/>
  <c r="AH4" i="4"/>
  <c r="AH9" i="4"/>
  <c r="S17" i="2" l="1"/>
  <c r="R10" i="2"/>
  <c r="S10" i="2" s="1"/>
  <c r="R11" i="2"/>
  <c r="S11" i="2" s="1"/>
  <c r="R12" i="2"/>
  <c r="S12" i="2" s="1"/>
  <c r="R13" i="2"/>
  <c r="S13" i="2" s="1"/>
  <c r="R14" i="2"/>
  <c r="S14" i="2" s="1"/>
  <c r="R15" i="2"/>
  <c r="S15" i="2" s="1"/>
  <c r="R16" i="2"/>
  <c r="S16" i="2" s="1"/>
  <c r="R9" i="2"/>
  <c r="S9" i="2" s="1"/>
  <c r="M4" i="1"/>
  <c r="M5" i="1"/>
  <c r="M6" i="1"/>
  <c r="M7" i="1"/>
  <c r="M8" i="1"/>
  <c r="M9" i="1"/>
  <c r="M10" i="1"/>
  <c r="M11" i="1"/>
  <c r="M3" i="1"/>
  <c r="L4" i="1"/>
  <c r="L5" i="1"/>
  <c r="L6" i="1"/>
  <c r="L7" i="1"/>
  <c r="L8" i="1"/>
  <c r="L9" i="1"/>
  <c r="L10" i="1"/>
  <c r="L11" i="1"/>
  <c r="L3" i="1"/>
  <c r="K3" i="1"/>
  <c r="K4" i="1"/>
  <c r="K5" i="1"/>
  <c r="K6" i="1"/>
  <c r="K7" i="1"/>
  <c r="K8" i="1"/>
  <c r="K9" i="1"/>
  <c r="K10" i="1"/>
  <c r="K11" i="1"/>
  <c r="B13" i="1"/>
  <c r="B12" i="1"/>
  <c r="B11" i="1"/>
  <c r="B10" i="1"/>
  <c r="N5" i="1" l="1"/>
  <c r="N6" i="1"/>
  <c r="N9" i="1"/>
  <c r="N8" i="1"/>
  <c r="N4" i="1"/>
  <c r="N7" i="1"/>
  <c r="N3" i="1"/>
  <c r="N11" i="1"/>
  <c r="N10" i="1"/>
</calcChain>
</file>

<file path=xl/sharedStrings.xml><?xml version="1.0" encoding="utf-8"?>
<sst xmlns="http://schemas.openxmlformats.org/spreadsheetml/2006/main" count="370" uniqueCount="57">
  <si>
    <t>A</t>
  </si>
  <si>
    <t>a</t>
  </si>
  <si>
    <t>b</t>
  </si>
  <si>
    <t>c</t>
  </si>
  <si>
    <t>B</t>
  </si>
  <si>
    <t>Machine</t>
  </si>
  <si>
    <t xml:space="preserve">C </t>
  </si>
  <si>
    <t>PW Pumps Coefficients</t>
  </si>
  <si>
    <t>well</t>
  </si>
  <si>
    <t>m</t>
  </si>
  <si>
    <t>MPB-28</t>
  </si>
  <si>
    <t>MPB-30</t>
  </si>
  <si>
    <t>MPB-32</t>
  </si>
  <si>
    <t>MPB-35</t>
  </si>
  <si>
    <t>MPB-37</t>
  </si>
  <si>
    <t>MPB-39</t>
  </si>
  <si>
    <t>MPG-16</t>
  </si>
  <si>
    <t>MPG-18</t>
  </si>
  <si>
    <t>MPH-16</t>
  </si>
  <si>
    <t>MPH-19</t>
  </si>
  <si>
    <t>MPJ-27</t>
  </si>
  <si>
    <t>Well BHP vs Liquid Rate Coefficients</t>
  </si>
  <si>
    <t>Total Fluid = m*BHP + b</t>
  </si>
  <si>
    <t>BHP = m*PF_pres + b</t>
  </si>
  <si>
    <t>PI</t>
  </si>
  <si>
    <t>WC</t>
  </si>
  <si>
    <t>Disch P=a*flow^2 + b*flow + c</t>
  </si>
  <si>
    <t>Pressure Drop from CFP to Pad</t>
  </si>
  <si>
    <t>G</t>
  </si>
  <si>
    <t>H</t>
  </si>
  <si>
    <t>J</t>
  </si>
  <si>
    <t>A Machine</t>
  </si>
  <si>
    <t>B Machine</t>
  </si>
  <si>
    <t>C Machine</t>
  </si>
  <si>
    <t>Disch P</t>
  </si>
  <si>
    <t>Total CPF Output</t>
  </si>
  <si>
    <t>Well PF Pres vs  BHP Coefficients</t>
  </si>
  <si>
    <t>Well</t>
  </si>
  <si>
    <t>BHP based on PF Pressure</t>
  </si>
  <si>
    <t>Liquid Rate</t>
  </si>
  <si>
    <t>Oil Rate</t>
  </si>
  <si>
    <t>Cum Oil</t>
  </si>
  <si>
    <t>Bottom Hole Change</t>
  </si>
  <si>
    <t>dBHP for 100 psi</t>
  </si>
  <si>
    <t>1 bbl/psi</t>
  </si>
  <si>
    <t>BHP Impact Combined Wells</t>
  </si>
  <si>
    <t>Oil Impact at 0% WC</t>
  </si>
  <si>
    <t>MPG-02</t>
  </si>
  <si>
    <t>MPG-14</t>
  </si>
  <si>
    <t>with 15Dec PF</t>
  </si>
  <si>
    <t>x</t>
  </si>
  <si>
    <t>Mix and Match</t>
  </si>
  <si>
    <t>BHP</t>
  </si>
  <si>
    <t>Oil</t>
  </si>
  <si>
    <t>?</t>
  </si>
  <si>
    <t>Dec1 PI</t>
  </si>
  <si>
    <t>BOPD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</si>
</sst>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11" fontId="0" fillId="5" borderId="1" xfId="0" applyNumberFormat="1" applyFill="1" applyBorder="1"/>
    <xf numFmtId="0" fontId="0" fillId="5" borderId="1" xfId="0" applyFill="1" applyBorder="1"/>
    <xf numFmtId="0" fontId="0" fillId="6" borderId="1" xfId="0" applyFill="1" applyBorder="1"/>
    <xf numFmtId="3" fontId="0" fillId="7" borderId="1" xfId="0" applyNumberFormat="1" applyFill="1" applyBorder="1"/>
    <xf numFmtId="0" fontId="0" fillId="6" borderId="2" xfId="0" applyFill="1" applyBorder="1"/>
    <xf numFmtId="0" fontId="0" fillId="2" borderId="2" xfId="0" applyFill="1" applyBorder="1"/>
    <xf numFmtId="3" fontId="0" fillId="8" borderId="1" xfId="0" applyNumberFormat="1" applyFill="1" applyBorder="1"/>
    <xf numFmtId="3" fontId="0" fillId="9" borderId="1" xfId="0" applyNumberFormat="1" applyFill="1" applyBorder="1"/>
    <xf numFmtId="3" fontId="0" fillId="10" borderId="1" xfId="0" applyNumberFormat="1" applyFill="1" applyBorder="1"/>
    <xf numFmtId="3" fontId="0" fillId="10" borderId="1" xfId="0" applyNumberFormat="1" applyFill="1" applyBorder="1" applyAlignment="1">
      <alignment horizontal="center"/>
    </xf>
    <xf numFmtId="0" fontId="0" fillId="2" borderId="3" xfId="0" applyFill="1" applyBorder="1"/>
    <xf numFmtId="3" fontId="0" fillId="0" borderId="1" xfId="0" applyNumberFormat="1" applyBorder="1"/>
    <xf numFmtId="3" fontId="0" fillId="0" borderId="0" xfId="0" applyNumberFormat="1"/>
    <xf numFmtId="16" fontId="0" fillId="0" borderId="0" xfId="0" applyNumberFormat="1"/>
    <xf numFmtId="0" fontId="0" fillId="4" borderId="0" xfId="0" applyFill="1"/>
    <xf numFmtId="3" fontId="0" fillId="7" borderId="0" xfId="0" applyNumberFormat="1" applyFill="1"/>
    <xf numFmtId="3" fontId="0" fillId="8" borderId="0" xfId="0" applyNumberFormat="1" applyFill="1"/>
    <xf numFmtId="3" fontId="0" fillId="9" borderId="0" xfId="0" applyNumberFormat="1" applyFill="1"/>
    <xf numFmtId="0" fontId="0" fillId="11" borderId="2" xfId="0" applyFill="1" applyBorder="1"/>
    <xf numFmtId="3" fontId="0" fillId="11" borderId="1" xfId="0" applyNumberFormat="1" applyFill="1" applyBorder="1"/>
    <xf numFmtId="0" fontId="0" fillId="11" borderId="1" xfId="0" applyFill="1" applyBorder="1"/>
    <xf numFmtId="0" fontId="0" fillId="4" borderId="5" xfId="0" applyFill="1" applyBorder="1"/>
    <xf numFmtId="3" fontId="0" fillId="7" borderId="5" xfId="0" applyNumberFormat="1" applyFill="1" applyBorder="1"/>
    <xf numFmtId="3" fontId="0" fillId="11" borderId="5" xfId="0" applyNumberFormat="1" applyFill="1" applyBorder="1"/>
    <xf numFmtId="3" fontId="0" fillId="8" borderId="5" xfId="0" applyNumberFormat="1" applyFill="1" applyBorder="1"/>
    <xf numFmtId="3" fontId="0" fillId="9" borderId="5" xfId="0" applyNumberFormat="1" applyFill="1" applyBorder="1"/>
    <xf numFmtId="0" fontId="0" fillId="0" borderId="5" xfId="0" applyBorder="1"/>
    <xf numFmtId="3" fontId="0" fillId="0" borderId="5" xfId="0" applyNumberFormat="1" applyBorder="1"/>
    <xf numFmtId="0" fontId="0" fillId="4" borderId="3" xfId="0" applyFill="1" applyBorder="1"/>
    <xf numFmtId="3" fontId="0" fillId="7" borderId="3" xfId="0" applyNumberFormat="1" applyFill="1" applyBorder="1"/>
    <xf numFmtId="3" fontId="0" fillId="11" borderId="3" xfId="0" applyNumberFormat="1" applyFill="1" applyBorder="1"/>
    <xf numFmtId="3" fontId="0" fillId="8" borderId="3" xfId="0" applyNumberFormat="1" applyFill="1" applyBorder="1"/>
    <xf numFmtId="3" fontId="0" fillId="9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0" fontId="0" fillId="4" borderId="6" xfId="0" applyFill="1" applyBorder="1"/>
    <xf numFmtId="3" fontId="0" fillId="7" borderId="7" xfId="0" applyNumberFormat="1" applyFill="1" applyBorder="1"/>
    <xf numFmtId="3" fontId="0" fillId="11" borderId="7" xfId="0" applyNumberFormat="1" applyFill="1" applyBorder="1"/>
    <xf numFmtId="3" fontId="0" fillId="8" borderId="7" xfId="0" applyNumberFormat="1" applyFill="1" applyBorder="1"/>
    <xf numFmtId="3" fontId="0" fillId="9" borderId="7" xfId="0" applyNumberFormat="1" applyFill="1" applyBorder="1"/>
    <xf numFmtId="0" fontId="0" fillId="0" borderId="7" xfId="0" applyBorder="1"/>
    <xf numFmtId="3" fontId="0" fillId="0" borderId="8" xfId="0" applyNumberFormat="1" applyBorder="1"/>
    <xf numFmtId="0" fontId="0" fillId="12" borderId="1" xfId="0" applyFill="1" applyBorder="1"/>
    <xf numFmtId="3" fontId="0" fillId="12" borderId="1" xfId="0" applyNumberFormat="1" applyFill="1" applyBorder="1"/>
    <xf numFmtId="3" fontId="0" fillId="12" borderId="5" xfId="0" applyNumberFormat="1" applyFill="1" applyBorder="1"/>
    <xf numFmtId="3" fontId="0" fillId="12" borderId="7" xfId="0" applyNumberFormat="1" applyFill="1" applyBorder="1"/>
    <xf numFmtId="3" fontId="0" fillId="12" borderId="3" xfId="0" applyNumberFormat="1" applyFill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Dicsh P vs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Summary!$E$53:$E$61</c:f>
              <c:numCache>
                <c:formatCode>General</c:formatCode>
                <c:ptCount val="9"/>
                <c:pt idx="0">
                  <c:v>2200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2800</c:v>
                </c:pt>
                <c:pt idx="7">
                  <c:v>2900</c:v>
                </c:pt>
                <c:pt idx="8">
                  <c:v>3000</c:v>
                </c:pt>
              </c:numCache>
            </c:numRef>
          </c:xVal>
          <c:yVal>
            <c:numRef>
              <c:f>Summary!$AC$53:$AC$61</c:f>
              <c:numCache>
                <c:formatCode>General</c:formatCode>
                <c:ptCount val="9"/>
                <c:pt idx="0">
                  <c:v>2208.8313757685069</c:v>
                </c:pt>
                <c:pt idx="1">
                  <c:v>2205.474867499966</c:v>
                </c:pt>
                <c:pt idx="2">
                  <c:v>2202.1183592314255</c:v>
                </c:pt>
                <c:pt idx="3">
                  <c:v>2198.7618509628846</c:v>
                </c:pt>
                <c:pt idx="4">
                  <c:v>2195.4053426943442</c:v>
                </c:pt>
                <c:pt idx="5">
                  <c:v>2192.0488344258033</c:v>
                </c:pt>
                <c:pt idx="6">
                  <c:v>2188.6923261572629</c:v>
                </c:pt>
                <c:pt idx="7">
                  <c:v>2185.335817888722</c:v>
                </c:pt>
                <c:pt idx="8">
                  <c:v>2181.9793096201815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4-451C-83D1-0957126F3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74624"/>
        <c:axId val="1933205232"/>
      </c:scatterChart>
      <c:valAx>
        <c:axId val="150074624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05232"/>
        <c:crosses val="autoZero"/>
        <c:crossBetween val="midCat"/>
      </c:valAx>
      <c:valAx>
        <c:axId val="19332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Dicsh P vs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Summary!$E$39:$E$47</c:f>
              <c:numCache>
                <c:formatCode>General</c:formatCode>
                <c:ptCount val="9"/>
                <c:pt idx="0">
                  <c:v>2200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2800</c:v>
                </c:pt>
                <c:pt idx="7">
                  <c:v>2900</c:v>
                </c:pt>
                <c:pt idx="8">
                  <c:v>3000</c:v>
                </c:pt>
              </c:numCache>
            </c:numRef>
          </c:xVal>
          <c:yVal>
            <c:numRef>
              <c:f>Summary!$AC$39:$AC$47</c:f>
              <c:numCache>
                <c:formatCode>General</c:formatCode>
                <c:ptCount val="9"/>
                <c:pt idx="0" formatCode="#,##0">
                  <c:v>2056.9342029062018</c:v>
                </c:pt>
                <c:pt idx="1">
                  <c:v>2010.5235783964592</c:v>
                </c:pt>
                <c:pt idx="2">
                  <c:v>1964.1129538867167</c:v>
                </c:pt>
                <c:pt idx="3">
                  <c:v>1917.7023293769746</c:v>
                </c:pt>
                <c:pt idx="4">
                  <c:v>1871.2917048672318</c:v>
                </c:pt>
                <c:pt idx="5">
                  <c:v>1824.8810803574895</c:v>
                </c:pt>
                <c:pt idx="6">
                  <c:v>1778.470455847747</c:v>
                </c:pt>
                <c:pt idx="7">
                  <c:v>1732.0598313380046</c:v>
                </c:pt>
                <c:pt idx="8">
                  <c:v>1685.6492068282623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3E-435F-9DD2-C00617BA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74624"/>
        <c:axId val="1933205232"/>
      </c:scatterChart>
      <c:valAx>
        <c:axId val="150074624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05232"/>
        <c:crosses val="autoZero"/>
        <c:crossBetween val="midCat"/>
      </c:valAx>
      <c:valAx>
        <c:axId val="19332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Dicsh P vs Oil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Summary!$E$26:$E$34</c:f>
              <c:numCache>
                <c:formatCode>General</c:formatCode>
                <c:ptCount val="9"/>
                <c:pt idx="0">
                  <c:v>2200</c:v>
                </c:pt>
                <c:pt idx="1">
                  <c:v>2300</c:v>
                </c:pt>
                <c:pt idx="2">
                  <c:v>2400</c:v>
                </c:pt>
                <c:pt idx="3">
                  <c:v>2500</c:v>
                </c:pt>
                <c:pt idx="4">
                  <c:v>2600</c:v>
                </c:pt>
                <c:pt idx="5">
                  <c:v>2700</c:v>
                </c:pt>
                <c:pt idx="6">
                  <c:v>2800</c:v>
                </c:pt>
                <c:pt idx="7">
                  <c:v>2900</c:v>
                </c:pt>
                <c:pt idx="8">
                  <c:v>3000</c:v>
                </c:pt>
              </c:numCache>
            </c:numRef>
          </c:xVal>
          <c:yVal>
            <c:numRef>
              <c:f>Summary!$AC$26:$AC$34</c:f>
              <c:numCache>
                <c:formatCode>General</c:formatCode>
                <c:ptCount val="9"/>
                <c:pt idx="0">
                  <c:v>1875.4137597130907</c:v>
                </c:pt>
                <c:pt idx="1">
                  <c:v>1871.4231184898233</c:v>
                </c:pt>
                <c:pt idx="2">
                  <c:v>1867.4324772665559</c:v>
                </c:pt>
                <c:pt idx="3">
                  <c:v>1863.4418360432885</c:v>
                </c:pt>
                <c:pt idx="4">
                  <c:v>1859.4511948200211</c:v>
                </c:pt>
                <c:pt idx="5">
                  <c:v>1855.4605535967535</c:v>
                </c:pt>
                <c:pt idx="6">
                  <c:v>1851.4699123734858</c:v>
                </c:pt>
                <c:pt idx="7">
                  <c:v>1847.4792711502189</c:v>
                </c:pt>
                <c:pt idx="8">
                  <c:v>1843.4886299269515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F-4A28-8E05-EB92767B3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074624"/>
        <c:axId val="1933205232"/>
      </c:scatterChart>
      <c:valAx>
        <c:axId val="150074624"/>
        <c:scaling>
          <c:orientation val="minMax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05232"/>
        <c:crosses val="autoZero"/>
        <c:crossBetween val="midCat"/>
      </c:valAx>
      <c:valAx>
        <c:axId val="19332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7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17</xdr:row>
      <xdr:rowOff>176212</xdr:rowOff>
    </xdr:from>
    <xdr:to>
      <xdr:col>30</xdr:col>
      <xdr:colOff>595312</xdr:colOff>
      <xdr:row>32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A3C403-8D73-4D5E-BC6D-17B1D3B56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17</xdr:row>
      <xdr:rowOff>176212</xdr:rowOff>
    </xdr:from>
    <xdr:to>
      <xdr:col>33</xdr:col>
      <xdr:colOff>203200</xdr:colOff>
      <xdr:row>36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38AE9-9ED5-480C-9D57-494E058E3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17</xdr:row>
      <xdr:rowOff>176212</xdr:rowOff>
    </xdr:from>
    <xdr:to>
      <xdr:col>30</xdr:col>
      <xdr:colOff>595312</xdr:colOff>
      <xdr:row>32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1DB42-445D-45E7-9493-7941E5905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FE11-FA30-4589-81FE-86A4DC5BB0B9}">
  <dimension ref="A2:N34"/>
  <sheetViews>
    <sheetView tabSelected="1" zoomScaleNormal="100" workbookViewId="0">
      <pane xSplit="10" topLeftCell="K1" activePane="topRight" state="frozen"/>
      <selection pane="topRight" activeCell="D13" sqref="D13"/>
    </sheetView>
  </sheetViews>
  <sheetFormatPr defaultRowHeight="14.5" x14ac:dyDescent="0.35"/>
  <cols>
    <col min="1" max="1" width="14.1796875" customWidth="1"/>
    <col min="3" max="3" width="10.81640625" customWidth="1"/>
    <col min="11" max="12" width="10.81640625" customWidth="1"/>
    <col min="13" max="13" width="10.453125" customWidth="1"/>
    <col min="14" max="14" width="17.1796875" customWidth="1"/>
  </cols>
  <sheetData>
    <row r="2" spans="1:14" x14ac:dyDescent="0.35">
      <c r="A2" t="s">
        <v>26</v>
      </c>
      <c r="J2" s="7" t="s">
        <v>34</v>
      </c>
      <c r="K2" s="7" t="s">
        <v>31</v>
      </c>
      <c r="L2" s="7" t="s">
        <v>32</v>
      </c>
      <c r="M2" s="7" t="s">
        <v>33</v>
      </c>
      <c r="N2" s="7" t="s">
        <v>35</v>
      </c>
    </row>
    <row r="3" spans="1:14" x14ac:dyDescent="0.35">
      <c r="A3" s="1" t="s">
        <v>5</v>
      </c>
      <c r="B3" s="1" t="s">
        <v>1</v>
      </c>
      <c r="C3" s="1" t="s">
        <v>2</v>
      </c>
      <c r="D3" s="1" t="s">
        <v>3</v>
      </c>
      <c r="J3" s="4">
        <v>2200</v>
      </c>
      <c r="K3" s="8">
        <f>-($C$4+SQRT($C$4^2-4*$B$4*$D$4+4*$B$4*J3))/(2*$B$4)</f>
        <v>41361.299391741188</v>
      </c>
      <c r="L3" s="8">
        <f>-($C$5+SQRT($C$5^2-4*$B$5*$D$5+4*$B$5*J3))/(2*$B$5)</f>
        <v>40781.578491970577</v>
      </c>
      <c r="M3" s="8">
        <f>-($C$6+SQRT($C$6^2-4*$B$6*$D$6+4*$B$6*J3))/(2*$B$6)</f>
        <v>43757.640416830458</v>
      </c>
      <c r="N3" s="8">
        <f>+K3+L3+M3</f>
        <v>125900.51830054223</v>
      </c>
    </row>
    <row r="4" spans="1:14" x14ac:dyDescent="0.35">
      <c r="A4" s="1" t="s">
        <v>0</v>
      </c>
      <c r="B4" s="5">
        <v>-6.6095060254029898E-7</v>
      </c>
      <c r="C4" s="6">
        <v>-1.5489711869216299E-2</v>
      </c>
      <c r="D4" s="6">
        <v>3971.4005378139</v>
      </c>
      <c r="J4" s="4">
        <v>2300</v>
      </c>
      <c r="K4" s="8">
        <f t="shared" ref="K4:K11" si="0">-($C$4+SQRT($C$4^2-4*$B$4*$D$4+4*$B$4*J4))/(2*$B$4)</f>
        <v>39916.427209116307</v>
      </c>
      <c r="L4" s="8">
        <f t="shared" ref="L4:L11" si="1">-($C$5+SQRT($C$5^2-4*$B$5*$D$5+4*$B$5*J4))/(2*$B$5)</f>
        <v>39242.832804681719</v>
      </c>
      <c r="M4" s="8">
        <f t="shared" ref="M4:M11" si="2">-($C$6+SQRT($C$6^2-4*$B$6*$D$6+4*$B$6*J4))/(2*$B$6)</f>
        <v>42392.175697689236</v>
      </c>
      <c r="N4" s="8">
        <f t="shared" ref="N4:N11" si="3">+K4+L4+M4</f>
        <v>121551.43571148725</v>
      </c>
    </row>
    <row r="5" spans="1:14" x14ac:dyDescent="0.35">
      <c r="A5" s="1" t="s">
        <v>4</v>
      </c>
      <c r="B5" s="5">
        <v>-1.0008492374194501E-6</v>
      </c>
      <c r="C5" s="6">
        <v>1.5104374092221101E-2</v>
      </c>
      <c r="D5" s="6">
        <v>3248.5693249793699</v>
      </c>
      <c r="J5" s="4">
        <v>2400</v>
      </c>
      <c r="K5" s="8">
        <f t="shared" si="0"/>
        <v>38429.942150758645</v>
      </c>
      <c r="L5" s="8">
        <f t="shared" si="1"/>
        <v>37625.474343218877</v>
      </c>
      <c r="M5" s="8">
        <f t="shared" si="2"/>
        <v>40927.426792137267</v>
      </c>
      <c r="N5" s="8">
        <f t="shared" si="3"/>
        <v>116982.84328611479</v>
      </c>
    </row>
    <row r="6" spans="1:14" x14ac:dyDescent="0.35">
      <c r="A6" s="1" t="s">
        <v>6</v>
      </c>
      <c r="B6" s="5">
        <v>-1.75394995854E-6</v>
      </c>
      <c r="C6" s="6">
        <v>7.7867326308086501E-2</v>
      </c>
      <c r="D6" s="6">
        <v>2151.0520596157598</v>
      </c>
      <c r="J6" s="4">
        <v>2500</v>
      </c>
      <c r="K6" s="8">
        <f t="shared" si="0"/>
        <v>36898.027277635272</v>
      </c>
      <c r="L6" s="8">
        <f t="shared" si="1"/>
        <v>35916.06140968707</v>
      </c>
      <c r="M6" s="8">
        <f t="shared" si="2"/>
        <v>39337.959086468523</v>
      </c>
      <c r="N6" s="8">
        <f t="shared" si="3"/>
        <v>112152.04777379087</v>
      </c>
    </row>
    <row r="7" spans="1:14" x14ac:dyDescent="0.35">
      <c r="J7" s="4">
        <v>2600</v>
      </c>
      <c r="K7" s="8">
        <f t="shared" si="0"/>
        <v>35316.243801011398</v>
      </c>
      <c r="L7" s="8">
        <f t="shared" si="1"/>
        <v>34096.819960656649</v>
      </c>
      <c r="M7" s="8">
        <f t="shared" si="2"/>
        <v>37585.172043026047</v>
      </c>
      <c r="N7" s="8">
        <f t="shared" si="3"/>
        <v>106998.23580469409</v>
      </c>
    </row>
    <row r="8" spans="1:14" x14ac:dyDescent="0.35">
      <c r="A8" s="3" t="s">
        <v>27</v>
      </c>
      <c r="J8" s="4">
        <v>2700</v>
      </c>
      <c r="K8" s="8">
        <f t="shared" si="0"/>
        <v>33679.379267981385</v>
      </c>
      <c r="L8" s="8">
        <f t="shared" si="1"/>
        <v>32143.393278899221</v>
      </c>
      <c r="M8" s="8">
        <f t="shared" si="2"/>
        <v>35605.16464043429</v>
      </c>
      <c r="N8" s="8">
        <f t="shared" si="3"/>
        <v>101427.93718731489</v>
      </c>
    </row>
    <row r="9" spans="1:14" x14ac:dyDescent="0.35">
      <c r="A9" s="1"/>
      <c r="B9" s="1"/>
      <c r="H9" s="17"/>
      <c r="J9" s="4">
        <v>2800</v>
      </c>
      <c r="K9" s="8">
        <f t="shared" si="0"/>
        <v>31981.244485537245</v>
      </c>
      <c r="L9" s="8">
        <f t="shared" si="1"/>
        <v>30020.820276276379</v>
      </c>
      <c r="M9" s="8">
        <f t="shared" si="2"/>
        <v>33276.775640717817</v>
      </c>
      <c r="N9" s="8">
        <f t="shared" si="3"/>
        <v>95278.840402531438</v>
      </c>
    </row>
    <row r="10" spans="1:14" x14ac:dyDescent="0.35">
      <c r="A10" s="1" t="s">
        <v>4</v>
      </c>
      <c r="B10" s="6">
        <f>2697-2425</f>
        <v>272</v>
      </c>
      <c r="H10" s="17"/>
      <c r="J10" s="4">
        <v>2900</v>
      </c>
      <c r="K10" s="8">
        <f t="shared" si="0"/>
        <v>30214.396293011203</v>
      </c>
      <c r="L10" s="8">
        <f t="shared" si="1"/>
        <v>27675.665551514972</v>
      </c>
      <c r="M10" s="8">
        <f t="shared" si="2"/>
        <v>30305.210100943106</v>
      </c>
      <c r="N10" s="8">
        <f t="shared" si="3"/>
        <v>88195.271945469285</v>
      </c>
    </row>
    <row r="11" spans="1:14" x14ac:dyDescent="0.35">
      <c r="A11" s="1" t="s">
        <v>28</v>
      </c>
      <c r="B11" s="6">
        <f>2697-2404</f>
        <v>293</v>
      </c>
      <c r="J11" s="4">
        <v>3000</v>
      </c>
      <c r="K11" s="8">
        <f t="shared" si="0"/>
        <v>28369.750132878697</v>
      </c>
      <c r="L11" s="8">
        <f t="shared" si="1"/>
        <v>25018.534502584087</v>
      </c>
      <c r="M11" s="8">
        <f t="shared" si="2"/>
        <v>25150.241736656852</v>
      </c>
      <c r="N11" s="8">
        <f t="shared" si="3"/>
        <v>78538.526372119639</v>
      </c>
    </row>
    <row r="12" spans="1:14" x14ac:dyDescent="0.35">
      <c r="A12" s="1" t="s">
        <v>29</v>
      </c>
      <c r="B12" s="6">
        <f>2697-2442</f>
        <v>255</v>
      </c>
    </row>
    <row r="13" spans="1:14" x14ac:dyDescent="0.35">
      <c r="A13" s="1" t="s">
        <v>30</v>
      </c>
      <c r="B13" s="6">
        <f>2697-2446</f>
        <v>251</v>
      </c>
    </row>
    <row r="15" spans="1:14" x14ac:dyDescent="0.35">
      <c r="A15" s="1"/>
      <c r="B15" s="6"/>
      <c r="C15" s="6"/>
    </row>
    <row r="16" spans="1:14" x14ac:dyDescent="0.35">
      <c r="A16" s="1"/>
      <c r="B16" s="6"/>
      <c r="C16" s="6"/>
    </row>
    <row r="17" spans="1:3" x14ac:dyDescent="0.35">
      <c r="A17" s="1"/>
      <c r="B17" s="6"/>
      <c r="C17" s="6"/>
    </row>
    <row r="18" spans="1:3" x14ac:dyDescent="0.35">
      <c r="A18" s="1"/>
      <c r="B18" s="6"/>
      <c r="C18" s="6"/>
    </row>
    <row r="19" spans="1:3" x14ac:dyDescent="0.35">
      <c r="A19" s="1"/>
      <c r="B19" s="6"/>
      <c r="C19" s="6"/>
    </row>
    <row r="20" spans="1:3" x14ac:dyDescent="0.35">
      <c r="A20" s="1"/>
      <c r="B20" s="6"/>
      <c r="C20" s="6"/>
    </row>
    <row r="21" spans="1:3" x14ac:dyDescent="0.35">
      <c r="A21" s="1"/>
      <c r="B21" s="6"/>
      <c r="C21" s="6"/>
    </row>
    <row r="23" spans="1:3" x14ac:dyDescent="0.35">
      <c r="A23" s="2"/>
      <c r="B23" s="2"/>
      <c r="C23" s="2"/>
    </row>
    <row r="24" spans="1:3" x14ac:dyDescent="0.35">
      <c r="A24" s="1"/>
      <c r="B24" s="6"/>
      <c r="C24" s="6"/>
    </row>
    <row r="25" spans="1:3" x14ac:dyDescent="0.35">
      <c r="A25" s="1"/>
      <c r="B25" s="6"/>
      <c r="C25" s="6"/>
    </row>
    <row r="26" spans="1:3" x14ac:dyDescent="0.35">
      <c r="A26" s="1"/>
      <c r="B26" s="6"/>
      <c r="C26" s="6"/>
    </row>
    <row r="27" spans="1:3" x14ac:dyDescent="0.35">
      <c r="A27" s="1"/>
      <c r="B27" s="6"/>
      <c r="C27" s="6"/>
    </row>
    <row r="28" spans="1:3" x14ac:dyDescent="0.35">
      <c r="A28" s="1"/>
      <c r="B28" s="6"/>
      <c r="C28" s="6"/>
    </row>
    <row r="29" spans="1:3" x14ac:dyDescent="0.35">
      <c r="A29" s="1"/>
      <c r="B29" s="6"/>
      <c r="C29" s="6"/>
    </row>
    <row r="30" spans="1:3" x14ac:dyDescent="0.35">
      <c r="A30" s="1"/>
      <c r="B30" s="6"/>
      <c r="C30" s="6"/>
    </row>
    <row r="31" spans="1:3" x14ac:dyDescent="0.35">
      <c r="A31" s="1"/>
      <c r="B31" s="6"/>
      <c r="C31" s="6"/>
    </row>
    <row r="32" spans="1:3" x14ac:dyDescent="0.35">
      <c r="A32" s="1"/>
      <c r="B32" s="6"/>
      <c r="C32" s="6"/>
    </row>
    <row r="33" spans="1:3" x14ac:dyDescent="0.35">
      <c r="A33" s="1"/>
      <c r="B33" s="6"/>
      <c r="C33" s="6"/>
    </row>
    <row r="34" spans="1:3" x14ac:dyDescent="0.35">
      <c r="A34" s="1"/>
      <c r="B34" s="6"/>
      <c r="C3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2C33-82EB-4D6A-B222-F640E8E5CE7E}">
  <dimension ref="A1:AI57"/>
  <sheetViews>
    <sheetView zoomScaleNormal="100" workbookViewId="0">
      <pane xSplit="10" topLeftCell="M1" activePane="topRight" state="frozen"/>
      <selection pane="topRight" activeCell="J2" sqref="J2:AH11"/>
    </sheetView>
  </sheetViews>
  <sheetFormatPr defaultRowHeight="14.5" x14ac:dyDescent="0.35"/>
  <cols>
    <col min="1" max="1" width="14.1796875" customWidth="1"/>
    <col min="3" max="3" width="10.81640625" customWidth="1"/>
    <col min="11" max="12" width="10.81640625" customWidth="1"/>
    <col min="13" max="13" width="10.453125" customWidth="1"/>
    <col min="14" max="16" width="17.1796875" customWidth="1"/>
    <col min="17" max="17" width="11.81640625" customWidth="1"/>
  </cols>
  <sheetData>
    <row r="1" spans="1:35" x14ac:dyDescent="0.35">
      <c r="O1" s="52" t="s">
        <v>38</v>
      </c>
      <c r="P1" s="52"/>
      <c r="Q1" s="52"/>
      <c r="R1" s="52"/>
      <c r="S1" s="52"/>
      <c r="T1" s="52"/>
      <c r="U1" s="52" t="s">
        <v>39</v>
      </c>
      <c r="V1" s="52"/>
      <c r="W1" s="52"/>
      <c r="X1" s="52"/>
      <c r="Y1" s="52"/>
      <c r="Z1" s="52"/>
      <c r="AA1" s="52" t="s">
        <v>40</v>
      </c>
      <c r="AB1" s="52"/>
      <c r="AC1" s="52"/>
      <c r="AD1" s="52"/>
      <c r="AE1" s="52"/>
      <c r="AF1" s="52"/>
    </row>
    <row r="2" spans="1:35" x14ac:dyDescent="0.35">
      <c r="A2" t="s">
        <v>7</v>
      </c>
      <c r="E2" t="s">
        <v>26</v>
      </c>
    </row>
    <row r="3" spans="1:35" x14ac:dyDescent="0.35">
      <c r="A3" s="1" t="s">
        <v>5</v>
      </c>
      <c r="B3" s="1" t="s">
        <v>1</v>
      </c>
      <c r="C3" s="1" t="s">
        <v>2</v>
      </c>
      <c r="D3" s="1" t="s">
        <v>3</v>
      </c>
      <c r="AI3">
        <f>+Summary!AC53-Summary!AC54</f>
        <v>3.3565082685408925</v>
      </c>
    </row>
    <row r="4" spans="1:35" x14ac:dyDescent="0.35">
      <c r="A4" s="1" t="s">
        <v>0</v>
      </c>
      <c r="B4" s="5">
        <v>-6.6095060254029898E-7</v>
      </c>
      <c r="C4" s="6">
        <v>-1.5489711869216299E-2</v>
      </c>
      <c r="D4" s="6">
        <v>3971.4005378139</v>
      </c>
      <c r="AI4">
        <f>+Summary!AC54-Summary!AC55</f>
        <v>3.3565082685404377</v>
      </c>
    </row>
    <row r="5" spans="1:35" x14ac:dyDescent="0.35">
      <c r="A5" s="1" t="s">
        <v>4</v>
      </c>
      <c r="B5" s="5">
        <v>-1.0008492374194501E-6</v>
      </c>
      <c r="C5" s="6">
        <v>1.5104374092221101E-2</v>
      </c>
      <c r="D5" s="6">
        <v>3248.5693249793699</v>
      </c>
      <c r="AI5">
        <f>+Summary!AC55-Summary!AC56</f>
        <v>3.3565082685408925</v>
      </c>
    </row>
    <row r="6" spans="1:35" x14ac:dyDescent="0.35">
      <c r="A6" s="1" t="s">
        <v>6</v>
      </c>
      <c r="B6" s="5">
        <v>-1.75394995854E-6</v>
      </c>
      <c r="C6" s="6">
        <v>7.7867326308086501E-2</v>
      </c>
      <c r="D6" s="6">
        <v>2151.0520596157598</v>
      </c>
      <c r="AI6">
        <f>+Summary!AC56-Summary!AC57</f>
        <v>3.3565082685404377</v>
      </c>
    </row>
    <row r="7" spans="1:35" x14ac:dyDescent="0.35">
      <c r="AI7">
        <f>+Summary!AC57-Summary!AC58</f>
        <v>3.3565082685408925</v>
      </c>
    </row>
    <row r="8" spans="1:35" x14ac:dyDescent="0.35">
      <c r="AI8">
        <f>+Summary!AC58-Summary!AC59</f>
        <v>3.3565082685404377</v>
      </c>
    </row>
    <row r="9" spans="1:35" x14ac:dyDescent="0.35">
      <c r="A9" t="s">
        <v>36</v>
      </c>
      <c r="D9" t="s">
        <v>23</v>
      </c>
      <c r="AI9">
        <f>+Summary!AC59-Summary!AC60</f>
        <v>3.3565082685408925</v>
      </c>
    </row>
    <row r="10" spans="1:35" x14ac:dyDescent="0.35">
      <c r="A10" s="1" t="s">
        <v>8</v>
      </c>
      <c r="B10" s="1" t="s">
        <v>9</v>
      </c>
      <c r="C10" s="1" t="s">
        <v>2</v>
      </c>
      <c r="AI10">
        <f>+Summary!AC60-Summary!AC61</f>
        <v>3.3565082685404377</v>
      </c>
    </row>
    <row r="11" spans="1:35" x14ac:dyDescent="0.35">
      <c r="A11" s="1" t="s">
        <v>10</v>
      </c>
      <c r="B11" s="6">
        <v>0.58218233957425503</v>
      </c>
      <c r="C11" s="6">
        <v>-203.64746771916001</v>
      </c>
      <c r="AI11">
        <f>+Summary!AC61-AH12</f>
        <v>2181.9793096201815</v>
      </c>
    </row>
    <row r="12" spans="1:35" x14ac:dyDescent="0.35">
      <c r="A12" s="1" t="s">
        <v>11</v>
      </c>
      <c r="B12" s="6">
        <v>0.255493021223546</v>
      </c>
      <c r="C12" s="6">
        <v>601.39385356669402</v>
      </c>
    </row>
    <row r="13" spans="1:35" x14ac:dyDescent="0.35">
      <c r="A13" s="1" t="s">
        <v>12</v>
      </c>
      <c r="B13" s="6">
        <v>-0.12452145160745801</v>
      </c>
      <c r="C13" s="6">
        <v>804.71812786528005</v>
      </c>
    </row>
    <row r="14" spans="1:35" x14ac:dyDescent="0.35">
      <c r="A14" s="1" t="s">
        <v>13</v>
      </c>
      <c r="B14" s="6">
        <v>-0.32280480825976599</v>
      </c>
      <c r="C14" s="6">
        <v>1239.9326494490999</v>
      </c>
      <c r="J14" t="s">
        <v>37</v>
      </c>
      <c r="K14" s="4">
        <v>2200</v>
      </c>
      <c r="L14" s="4">
        <v>2300</v>
      </c>
      <c r="M14" s="4">
        <v>2400</v>
      </c>
      <c r="N14" s="4">
        <v>2500</v>
      </c>
      <c r="O14" s="4"/>
      <c r="P14" s="4"/>
      <c r="Q14" s="4">
        <v>2600</v>
      </c>
      <c r="R14" s="4">
        <v>2700</v>
      </c>
      <c r="S14" s="4">
        <v>2800</v>
      </c>
      <c r="T14" s="4">
        <v>2900</v>
      </c>
    </row>
    <row r="15" spans="1:35" x14ac:dyDescent="0.35">
      <c r="A15" s="1" t="s">
        <v>14</v>
      </c>
      <c r="B15" s="6">
        <v>-3.6146351050220703E-2</v>
      </c>
      <c r="C15" s="6">
        <v>603.92011254695501</v>
      </c>
      <c r="J15" s="1" t="s">
        <v>10</v>
      </c>
      <c r="K15" s="8">
        <f>+$B$11*K14+$C$11</f>
        <v>1077.153679344201</v>
      </c>
      <c r="L15" s="8">
        <f t="shared" ref="L15:T15" si="0">+$B$11*L14+$C$11</f>
        <v>1135.3719133016266</v>
      </c>
      <c r="M15" s="8">
        <f t="shared" si="0"/>
        <v>1193.5901472590522</v>
      </c>
      <c r="N15" s="8">
        <f t="shared" si="0"/>
        <v>1251.8083812164775</v>
      </c>
      <c r="O15" s="8"/>
      <c r="P15" s="8"/>
      <c r="Q15" s="8">
        <f t="shared" si="0"/>
        <v>1310.0266151739031</v>
      </c>
      <c r="R15" s="8">
        <f t="shared" si="0"/>
        <v>1368.2448491313287</v>
      </c>
      <c r="S15" s="8">
        <f t="shared" si="0"/>
        <v>1426.463083088754</v>
      </c>
      <c r="T15" s="8">
        <f t="shared" si="0"/>
        <v>1484.6813170461796</v>
      </c>
    </row>
    <row r="16" spans="1:35" x14ac:dyDescent="0.35">
      <c r="A16" s="1" t="s">
        <v>15</v>
      </c>
      <c r="B16" s="6">
        <v>3.2483409122694797E-2</v>
      </c>
      <c r="C16" s="6">
        <v>237.99647448774101</v>
      </c>
      <c r="J16" s="1" t="s">
        <v>11</v>
      </c>
      <c r="K16" s="8">
        <f>+$B$12*K14+$C$12</f>
        <v>1163.4785002584954</v>
      </c>
      <c r="L16" s="8">
        <f t="shared" ref="L16:T16" si="1">+$B$12*L14+$C$12</f>
        <v>1189.0278023808498</v>
      </c>
      <c r="M16" s="8">
        <f t="shared" si="1"/>
        <v>1214.5771045032043</v>
      </c>
      <c r="N16" s="8">
        <f t="shared" si="1"/>
        <v>1240.126406625559</v>
      </c>
      <c r="O16" s="8"/>
      <c r="P16" s="8"/>
      <c r="Q16" s="8">
        <f t="shared" si="1"/>
        <v>1265.6757087479136</v>
      </c>
      <c r="R16" s="8">
        <f t="shared" si="1"/>
        <v>1291.2250108702683</v>
      </c>
      <c r="S16" s="8">
        <f t="shared" si="1"/>
        <v>1316.774312992623</v>
      </c>
      <c r="T16" s="8">
        <f t="shared" si="1"/>
        <v>1342.3236151149774</v>
      </c>
    </row>
    <row r="17" spans="1:20" x14ac:dyDescent="0.35">
      <c r="A17" s="1" t="s">
        <v>16</v>
      </c>
      <c r="B17" s="6">
        <v>3.3759687435936998E-2</v>
      </c>
      <c r="C17" s="6">
        <v>543.62925978453598</v>
      </c>
      <c r="J17" s="1" t="s">
        <v>12</v>
      </c>
      <c r="K17" s="8">
        <f>+$B$13*K14+$C$13</f>
        <v>530.7709343288725</v>
      </c>
      <c r="L17" s="8">
        <f t="shared" ref="L17:T17" si="2">+$B$13*L14+$C$13</f>
        <v>518.31878916812661</v>
      </c>
      <c r="M17" s="8">
        <f t="shared" si="2"/>
        <v>505.86664400738084</v>
      </c>
      <c r="N17" s="8">
        <f t="shared" si="2"/>
        <v>493.41449884663501</v>
      </c>
      <c r="O17" s="8"/>
      <c r="P17" s="8"/>
      <c r="Q17" s="8">
        <f t="shared" si="2"/>
        <v>480.96235368588924</v>
      </c>
      <c r="R17" s="8">
        <f t="shared" si="2"/>
        <v>468.51020852514341</v>
      </c>
      <c r="S17" s="8">
        <f t="shared" si="2"/>
        <v>456.05806336439764</v>
      </c>
      <c r="T17" s="8">
        <f t="shared" si="2"/>
        <v>443.60591820365181</v>
      </c>
    </row>
    <row r="18" spans="1:20" x14ac:dyDescent="0.35">
      <c r="A18" s="1" t="s">
        <v>17</v>
      </c>
      <c r="B18" s="6">
        <v>-2.9966779683901799E-2</v>
      </c>
      <c r="C18" s="6">
        <v>856.79767945823801</v>
      </c>
      <c r="J18" s="1" t="s">
        <v>13</v>
      </c>
      <c r="K18" s="8">
        <f>+$B$14*K14+$C$14</f>
        <v>529.76207127761472</v>
      </c>
      <c r="L18" s="8">
        <f t="shared" ref="L18:T18" si="3">+$B$14*L14+$C$14</f>
        <v>497.48159045163811</v>
      </c>
      <c r="M18" s="8">
        <f t="shared" si="3"/>
        <v>465.20110962566162</v>
      </c>
      <c r="N18" s="8">
        <f t="shared" si="3"/>
        <v>432.92062879968501</v>
      </c>
      <c r="O18" s="8"/>
      <c r="P18" s="8"/>
      <c r="Q18" s="8">
        <f t="shared" si="3"/>
        <v>400.64014797370839</v>
      </c>
      <c r="R18" s="8">
        <f t="shared" si="3"/>
        <v>368.35966714773178</v>
      </c>
      <c r="S18" s="8">
        <f t="shared" si="3"/>
        <v>336.07918632175517</v>
      </c>
      <c r="T18" s="8">
        <f t="shared" si="3"/>
        <v>303.79870549577856</v>
      </c>
    </row>
    <row r="19" spans="1:20" x14ac:dyDescent="0.35">
      <c r="A19" s="1" t="s">
        <v>18</v>
      </c>
      <c r="B19" s="6">
        <v>-5.2657080908686997E-3</v>
      </c>
      <c r="C19" s="6">
        <v>629.33288361693405</v>
      </c>
      <c r="J19" s="1" t="s">
        <v>14</v>
      </c>
      <c r="K19" s="8">
        <f>+$B$15*K14+$C$15</f>
        <v>524.39814023646943</v>
      </c>
      <c r="L19" s="8">
        <f t="shared" ref="L19:T19" si="4">+$B$15*L14+$C$15</f>
        <v>520.78350513144744</v>
      </c>
      <c r="M19" s="8">
        <f t="shared" si="4"/>
        <v>517.16887002642534</v>
      </c>
      <c r="N19" s="8">
        <f t="shared" si="4"/>
        <v>513.55423492140324</v>
      </c>
      <c r="O19" s="8"/>
      <c r="P19" s="8"/>
      <c r="Q19" s="8">
        <f t="shared" si="4"/>
        <v>509.93959981638119</v>
      </c>
      <c r="R19" s="8">
        <f t="shared" si="4"/>
        <v>506.32496471135914</v>
      </c>
      <c r="S19" s="8">
        <f t="shared" si="4"/>
        <v>502.71032960633704</v>
      </c>
      <c r="T19" s="8">
        <f t="shared" si="4"/>
        <v>499.09569450131494</v>
      </c>
    </row>
    <row r="20" spans="1:20" x14ac:dyDescent="0.35">
      <c r="A20" s="1" t="s">
        <v>19</v>
      </c>
      <c r="B20" s="6">
        <v>-2.0427950755962501E-2</v>
      </c>
      <c r="C20" s="6">
        <v>865.76375553240803</v>
      </c>
      <c r="J20" s="1" t="s">
        <v>15</v>
      </c>
      <c r="K20" s="8">
        <f>+$B$16*K14+$C$16</f>
        <v>309.45997455766957</v>
      </c>
      <c r="L20" s="8">
        <f t="shared" ref="L20:T20" si="5">+$B$16*L14+$C$16</f>
        <v>312.70831546993907</v>
      </c>
      <c r="M20" s="8">
        <f t="shared" si="5"/>
        <v>315.95665638220851</v>
      </c>
      <c r="N20" s="8">
        <f t="shared" si="5"/>
        <v>319.20499729447801</v>
      </c>
      <c r="O20" s="8"/>
      <c r="P20" s="8"/>
      <c r="Q20" s="8">
        <f t="shared" si="5"/>
        <v>322.4533382067475</v>
      </c>
      <c r="R20" s="8">
        <f t="shared" si="5"/>
        <v>325.70167911901694</v>
      </c>
      <c r="S20" s="8">
        <f t="shared" si="5"/>
        <v>328.95002003128644</v>
      </c>
      <c r="T20" s="8">
        <f t="shared" si="5"/>
        <v>332.19836094355594</v>
      </c>
    </row>
    <row r="21" spans="1:20" x14ac:dyDescent="0.35">
      <c r="A21" s="1" t="s">
        <v>20</v>
      </c>
      <c r="B21" s="6">
        <v>-5.6816462396265401E-2</v>
      </c>
      <c r="C21" s="6">
        <v>726.60210846641098</v>
      </c>
      <c r="J21" s="1" t="s">
        <v>16</v>
      </c>
      <c r="K21" s="8">
        <f>+$B$17*K14+$C$17</f>
        <v>617.9005721435974</v>
      </c>
      <c r="L21" s="8">
        <f t="shared" ref="L21:T21" si="6">+$B$17*L14+$C$17</f>
        <v>621.27654088719112</v>
      </c>
      <c r="M21" s="8">
        <f t="shared" si="6"/>
        <v>624.65250963078483</v>
      </c>
      <c r="N21" s="8">
        <f t="shared" si="6"/>
        <v>628.02847837437844</v>
      </c>
      <c r="O21" s="8"/>
      <c r="P21" s="8"/>
      <c r="Q21" s="8">
        <f t="shared" si="6"/>
        <v>631.40444711797215</v>
      </c>
      <c r="R21" s="8">
        <f t="shared" si="6"/>
        <v>634.78041586156587</v>
      </c>
      <c r="S21" s="8">
        <f t="shared" si="6"/>
        <v>638.15638460515959</v>
      </c>
      <c r="T21" s="8">
        <f t="shared" si="6"/>
        <v>641.5323533487533</v>
      </c>
    </row>
    <row r="22" spans="1:20" x14ac:dyDescent="0.35">
      <c r="J22" s="1" t="s">
        <v>17</v>
      </c>
      <c r="K22" s="8">
        <f>+$B$18*K14+$C$18</f>
        <v>790.87076415365402</v>
      </c>
      <c r="L22" s="8">
        <f t="shared" ref="L22:T22" si="7">+$B$18*L14+$C$18</f>
        <v>787.87408618526388</v>
      </c>
      <c r="M22" s="8">
        <f t="shared" si="7"/>
        <v>784.87740821687373</v>
      </c>
      <c r="N22" s="8">
        <f t="shared" si="7"/>
        <v>781.88073024848347</v>
      </c>
      <c r="O22" s="8"/>
      <c r="P22" s="8"/>
      <c r="Q22" s="8">
        <f t="shared" si="7"/>
        <v>778.88405228009333</v>
      </c>
      <c r="R22" s="8">
        <f t="shared" si="7"/>
        <v>775.88737431170318</v>
      </c>
      <c r="S22" s="8">
        <f t="shared" si="7"/>
        <v>772.89069634331292</v>
      </c>
      <c r="T22" s="8">
        <f t="shared" si="7"/>
        <v>769.89401837492278</v>
      </c>
    </row>
    <row r="23" spans="1:20" x14ac:dyDescent="0.35">
      <c r="J23" s="1" t="s">
        <v>18</v>
      </c>
      <c r="K23" s="8">
        <f>+$B$19*K14+$C$19</f>
        <v>617.74832581702287</v>
      </c>
      <c r="L23" s="8">
        <f t="shared" ref="L23:T23" si="8">+$B$19*L14+$C$19</f>
        <v>617.22175500793605</v>
      </c>
      <c r="M23" s="8">
        <f t="shared" si="8"/>
        <v>616.69518419884912</v>
      </c>
      <c r="N23" s="8">
        <f t="shared" si="8"/>
        <v>616.1686133897623</v>
      </c>
      <c r="O23" s="8"/>
      <c r="P23" s="8"/>
      <c r="Q23" s="8">
        <f t="shared" si="8"/>
        <v>615.64204258067548</v>
      </c>
      <c r="R23" s="8">
        <f t="shared" si="8"/>
        <v>615.11547177158855</v>
      </c>
      <c r="S23" s="8">
        <f t="shared" si="8"/>
        <v>614.58890096250173</v>
      </c>
      <c r="T23" s="8">
        <f t="shared" si="8"/>
        <v>614.06233015341479</v>
      </c>
    </row>
    <row r="24" spans="1:20" x14ac:dyDescent="0.35">
      <c r="A24" t="s">
        <v>21</v>
      </c>
      <c r="D24" t="s">
        <v>22</v>
      </c>
      <c r="J24" s="1" t="s">
        <v>19</v>
      </c>
      <c r="K24" s="8">
        <f>+$B$20*K14+$C$20</f>
        <v>820.82226386929051</v>
      </c>
      <c r="L24" s="8">
        <f t="shared" ref="L24:T24" si="9">+$B$20*L14+$C$20</f>
        <v>818.77946879369426</v>
      </c>
      <c r="M24" s="8">
        <f t="shared" si="9"/>
        <v>816.73667371809802</v>
      </c>
      <c r="N24" s="8">
        <f t="shared" si="9"/>
        <v>814.69387864250177</v>
      </c>
      <c r="O24" s="8"/>
      <c r="P24" s="8"/>
      <c r="Q24" s="8">
        <f t="shared" si="9"/>
        <v>812.65108356690553</v>
      </c>
      <c r="R24" s="8">
        <f t="shared" si="9"/>
        <v>810.60828849130928</v>
      </c>
      <c r="S24" s="8">
        <f t="shared" si="9"/>
        <v>808.56549341571304</v>
      </c>
      <c r="T24" s="8">
        <f t="shared" si="9"/>
        <v>806.52269834011679</v>
      </c>
    </row>
    <row r="25" spans="1:20" x14ac:dyDescent="0.35">
      <c r="A25" s="1" t="s">
        <v>8</v>
      </c>
      <c r="B25" s="1" t="s">
        <v>9</v>
      </c>
      <c r="C25" s="1" t="s">
        <v>2</v>
      </c>
      <c r="J25" s="1" t="s">
        <v>20</v>
      </c>
      <c r="K25" s="8">
        <f>+$B$21*K14+$C$21</f>
        <v>601.60589119462713</v>
      </c>
      <c r="L25" s="8">
        <f t="shared" ref="L25:T25" si="10">+$B$21*L14+$C$21</f>
        <v>595.92424495500063</v>
      </c>
      <c r="M25" s="8">
        <f t="shared" si="10"/>
        <v>590.24259871537402</v>
      </c>
      <c r="N25" s="8">
        <f t="shared" si="10"/>
        <v>584.56095247574751</v>
      </c>
      <c r="O25" s="8"/>
      <c r="P25" s="8"/>
      <c r="Q25" s="8">
        <f t="shared" si="10"/>
        <v>578.87930623612101</v>
      </c>
      <c r="R25" s="8">
        <f t="shared" si="10"/>
        <v>573.19765999649439</v>
      </c>
      <c r="S25" s="8">
        <f t="shared" si="10"/>
        <v>567.51601375686789</v>
      </c>
      <c r="T25" s="8">
        <f t="shared" si="10"/>
        <v>561.83436751724139</v>
      </c>
    </row>
    <row r="26" spans="1:20" x14ac:dyDescent="0.35">
      <c r="A26" s="1" t="s">
        <v>10</v>
      </c>
      <c r="B26" s="6">
        <v>-1.9065092103636401</v>
      </c>
      <c r="C26" s="6">
        <v>3847.4550305914499</v>
      </c>
    </row>
    <row r="27" spans="1:20" x14ac:dyDescent="0.35">
      <c r="A27" s="1" t="s">
        <v>11</v>
      </c>
      <c r="B27" s="6">
        <v>2.6776221091465402</v>
      </c>
      <c r="C27" s="6">
        <v>-2179.9869888817202</v>
      </c>
    </row>
    <row r="28" spans="1:20" x14ac:dyDescent="0.35">
      <c r="A28" s="1" t="s">
        <v>12</v>
      </c>
      <c r="B28" s="6">
        <v>0.308365861225953</v>
      </c>
      <c r="C28" s="6">
        <v>642.33601307103095</v>
      </c>
    </row>
    <row r="29" spans="1:20" x14ac:dyDescent="0.35">
      <c r="A29" s="1" t="s">
        <v>13</v>
      </c>
      <c r="B29" s="6">
        <v>0.189012107556808</v>
      </c>
      <c r="C29" s="6">
        <v>64.451552237744295</v>
      </c>
      <c r="E29">
        <f>+C29/B29</f>
        <v>340.99165958653333</v>
      </c>
    </row>
    <row r="30" spans="1:20" x14ac:dyDescent="0.35">
      <c r="A30" s="1" t="s">
        <v>14</v>
      </c>
      <c r="B30" s="6">
        <v>-1.06967083886145</v>
      </c>
      <c r="C30" s="6">
        <v>1404.39179321146</v>
      </c>
    </row>
    <row r="31" spans="1:20" x14ac:dyDescent="0.35">
      <c r="A31" s="1" t="s">
        <v>15</v>
      </c>
      <c r="B31" s="6">
        <v>6.3710659556152702</v>
      </c>
      <c r="C31" s="6">
        <v>-1584.1390092763099</v>
      </c>
    </row>
    <row r="32" spans="1:20" x14ac:dyDescent="0.35">
      <c r="A32" s="1" t="s">
        <v>16</v>
      </c>
      <c r="B32" s="6">
        <v>-1.82420385795109</v>
      </c>
      <c r="C32" s="6">
        <v>1310.6330300402999</v>
      </c>
    </row>
    <row r="33" spans="1:3" x14ac:dyDescent="0.35">
      <c r="A33" s="1" t="s">
        <v>17</v>
      </c>
      <c r="B33" s="6">
        <v>-0.98447394651512199</v>
      </c>
      <c r="C33" s="6">
        <v>1933.2377589294899</v>
      </c>
    </row>
    <row r="34" spans="1:3" x14ac:dyDescent="0.35">
      <c r="A34" s="1" t="s">
        <v>18</v>
      </c>
      <c r="B34" s="6">
        <v>0.38564645614474602</v>
      </c>
      <c r="C34" s="6">
        <v>238.06014999999999</v>
      </c>
    </row>
    <row r="35" spans="1:3" x14ac:dyDescent="0.35">
      <c r="A35" s="1" t="s">
        <v>19</v>
      </c>
      <c r="B35" s="6">
        <v>-25.485786251548902</v>
      </c>
      <c r="C35" s="6">
        <v>21057.232544349001</v>
      </c>
    </row>
    <row r="36" spans="1:3" x14ac:dyDescent="0.35">
      <c r="A36" s="1" t="s">
        <v>20</v>
      </c>
      <c r="B36" s="6">
        <v>3.8773980818693798E-17</v>
      </c>
      <c r="C36" s="6">
        <v>-23.302129999999998</v>
      </c>
    </row>
    <row r="37" spans="1:3" x14ac:dyDescent="0.35">
      <c r="B37">
        <v>-3.02775044277462E-16</v>
      </c>
      <c r="C37">
        <v>409.13549999999998</v>
      </c>
    </row>
    <row r="38" spans="1:3" x14ac:dyDescent="0.35">
      <c r="A38" s="2" t="s">
        <v>8</v>
      </c>
      <c r="B38" s="2" t="s">
        <v>24</v>
      </c>
      <c r="C38" s="2" t="s">
        <v>25</v>
      </c>
    </row>
    <row r="39" spans="1:3" x14ac:dyDescent="0.35">
      <c r="A39" s="1" t="s">
        <v>10</v>
      </c>
      <c r="B39" s="6">
        <v>-2.43774441550124</v>
      </c>
      <c r="C39" s="6">
        <v>0.73</v>
      </c>
    </row>
    <row r="40" spans="1:3" x14ac:dyDescent="0.35">
      <c r="A40" s="1" t="s">
        <v>11</v>
      </c>
      <c r="B40" s="6">
        <v>0.71135683993195498</v>
      </c>
      <c r="C40" s="6">
        <v>0.83699999999999997</v>
      </c>
    </row>
    <row r="41" spans="1:3" x14ac:dyDescent="0.35">
      <c r="A41" s="1" t="s">
        <v>12</v>
      </c>
      <c r="B41" s="6">
        <v>1.5300796314254499</v>
      </c>
      <c r="C41" s="6">
        <v>0.54</v>
      </c>
    </row>
    <row r="42" spans="1:3" x14ac:dyDescent="0.35">
      <c r="A42" s="1" t="s">
        <v>13</v>
      </c>
      <c r="B42" s="6">
        <v>0.140492177382643</v>
      </c>
      <c r="C42" s="6">
        <v>0.37</v>
      </c>
    </row>
    <row r="43" spans="1:3" x14ac:dyDescent="0.35">
      <c r="A43" s="1" t="s">
        <v>14</v>
      </c>
      <c r="B43" s="6">
        <v>0.17258408426484301</v>
      </c>
      <c r="C43" s="6">
        <v>0.1</v>
      </c>
    </row>
    <row r="44" spans="1:3" x14ac:dyDescent="0.35">
      <c r="A44" s="1" t="s">
        <v>15</v>
      </c>
      <c r="B44" s="6">
        <v>0.40871200019156301</v>
      </c>
      <c r="C44" s="6">
        <v>0.15</v>
      </c>
    </row>
    <row r="45" spans="1:3" x14ac:dyDescent="0.35">
      <c r="A45" s="1" t="s">
        <v>47</v>
      </c>
      <c r="B45" s="6">
        <v>-1.9093673766649599</v>
      </c>
      <c r="C45" s="6">
        <v>1354.81185232743</v>
      </c>
    </row>
    <row r="46" spans="1:3" x14ac:dyDescent="0.35">
      <c r="A46" s="1" t="s">
        <v>48</v>
      </c>
      <c r="B46" s="6">
        <v>-0.98447394651512199</v>
      </c>
      <c r="C46" s="6">
        <v>1933.2377589294899</v>
      </c>
    </row>
    <row r="47" spans="1:3" x14ac:dyDescent="0.35">
      <c r="A47" s="1" t="s">
        <v>16</v>
      </c>
      <c r="B47" s="6">
        <v>-9.8255837124864005</v>
      </c>
      <c r="C47" s="6">
        <v>6540.0025300433899</v>
      </c>
    </row>
    <row r="48" spans="1:3" x14ac:dyDescent="0.35">
      <c r="A48" s="1" t="s">
        <v>17</v>
      </c>
      <c r="B48" s="6">
        <v>-4.6984387025920302</v>
      </c>
      <c r="C48" s="6">
        <v>4637.3571745139197</v>
      </c>
    </row>
    <row r="49" spans="1:3" x14ac:dyDescent="0.35">
      <c r="A49" s="1" t="s">
        <v>18</v>
      </c>
      <c r="B49" s="6">
        <v>3.8773980818693798E-17</v>
      </c>
      <c r="C49" s="6">
        <v>-23.302129999999998</v>
      </c>
    </row>
    <row r="50" spans="1:3" x14ac:dyDescent="0.35">
      <c r="A50" s="1" t="s">
        <v>19</v>
      </c>
      <c r="B50">
        <v>-2.5879953286196199E-16</v>
      </c>
      <c r="C50">
        <v>409.13549999999998</v>
      </c>
    </row>
    <row r="52" spans="1:3" x14ac:dyDescent="0.35">
      <c r="A52" s="3" t="s">
        <v>27</v>
      </c>
    </row>
    <row r="53" spans="1:3" x14ac:dyDescent="0.35">
      <c r="A53" s="1"/>
      <c r="B53" s="1"/>
    </row>
    <row r="54" spans="1:3" x14ac:dyDescent="0.35">
      <c r="A54" s="1" t="s">
        <v>4</v>
      </c>
      <c r="B54" s="6">
        <f>2697-2425</f>
        <v>272</v>
      </c>
    </row>
    <row r="55" spans="1:3" x14ac:dyDescent="0.35">
      <c r="A55" s="1" t="s">
        <v>28</v>
      </c>
      <c r="B55" s="6">
        <f>2697-2404</f>
        <v>293</v>
      </c>
    </row>
    <row r="56" spans="1:3" x14ac:dyDescent="0.35">
      <c r="A56" s="1" t="s">
        <v>29</v>
      </c>
      <c r="B56" s="6">
        <f>2697-2442</f>
        <v>255</v>
      </c>
    </row>
    <row r="57" spans="1:3" x14ac:dyDescent="0.35">
      <c r="A57" s="1" t="s">
        <v>30</v>
      </c>
      <c r="B57" s="6">
        <f>2697-2446</f>
        <v>251</v>
      </c>
    </row>
  </sheetData>
  <mergeCells count="3">
    <mergeCell ref="O1:T1"/>
    <mergeCell ref="U1:Z1"/>
    <mergeCell ref="AA1:A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7365-DA53-4F2A-A256-D1C742DEFED3}">
  <dimension ref="A2:AH58"/>
  <sheetViews>
    <sheetView zoomScaleNormal="100" workbookViewId="0">
      <pane xSplit="10" topLeftCell="K1" activePane="topRight" state="frozen"/>
      <selection pane="topRight" activeCell="J1" sqref="J1:AG11"/>
    </sheetView>
  </sheetViews>
  <sheetFormatPr defaultRowHeight="14.5" x14ac:dyDescent="0.35"/>
  <cols>
    <col min="1" max="1" width="14.1796875" customWidth="1"/>
    <col min="3" max="3" width="10.81640625" customWidth="1"/>
    <col min="11" max="12" width="10.81640625" customWidth="1"/>
    <col min="13" max="13" width="10.453125" customWidth="1"/>
    <col min="14" max="16" width="17.1796875" customWidth="1"/>
    <col min="17" max="17" width="11.81640625" customWidth="1"/>
    <col min="27" max="27" width="12.54296875" customWidth="1"/>
    <col min="33" max="33" width="9.36328125" bestFit="1" customWidth="1"/>
  </cols>
  <sheetData>
    <row r="2" spans="1:34" x14ac:dyDescent="0.35">
      <c r="A2" t="s">
        <v>7</v>
      </c>
      <c r="E2" t="s">
        <v>26</v>
      </c>
    </row>
    <row r="3" spans="1:34" x14ac:dyDescent="0.35">
      <c r="A3" s="1" t="s">
        <v>5</v>
      </c>
      <c r="B3" s="1" t="s">
        <v>1</v>
      </c>
      <c r="C3" s="1" t="s">
        <v>2</v>
      </c>
      <c r="D3" s="1" t="s">
        <v>3</v>
      </c>
      <c r="AH3" s="17">
        <f>+Summary!AC39-Summary!AC40</f>
        <v>46.410624509742547</v>
      </c>
    </row>
    <row r="4" spans="1:34" x14ac:dyDescent="0.35">
      <c r="A4" s="1" t="s">
        <v>0</v>
      </c>
      <c r="B4" s="5">
        <v>-6.6095060254029898E-7</v>
      </c>
      <c r="C4" s="6">
        <v>-1.5489711869216299E-2</v>
      </c>
      <c r="D4" s="6">
        <v>3971.4005378139</v>
      </c>
      <c r="AH4">
        <f>+Summary!AC40-Summary!AC41</f>
        <v>46.410624509742547</v>
      </c>
    </row>
    <row r="5" spans="1:34" x14ac:dyDescent="0.35">
      <c r="A5" s="1" t="s">
        <v>4</v>
      </c>
      <c r="B5" s="5">
        <v>-1.0008492374194501E-6</v>
      </c>
      <c r="C5" s="6">
        <v>1.5104374092221101E-2</v>
      </c>
      <c r="D5" s="6">
        <v>3248.5693249793699</v>
      </c>
      <c r="AH5">
        <f>+Summary!AC41-Summary!AC42</f>
        <v>46.410624509742092</v>
      </c>
    </row>
    <row r="6" spans="1:34" x14ac:dyDescent="0.35">
      <c r="A6" s="1" t="s">
        <v>6</v>
      </c>
      <c r="B6" s="5">
        <v>-1.75394995854E-6</v>
      </c>
      <c r="C6" s="6">
        <v>7.7867326308086501E-2</v>
      </c>
      <c r="D6" s="6">
        <v>2151.0520596157598</v>
      </c>
      <c r="AH6">
        <f>+Summary!AC42-Summary!AC43</f>
        <v>46.410624509742775</v>
      </c>
    </row>
    <row r="7" spans="1:34" x14ac:dyDescent="0.35">
      <c r="AH7">
        <f>+Summary!AC43-Summary!AC44</f>
        <v>46.41062450974232</v>
      </c>
    </row>
    <row r="8" spans="1:34" x14ac:dyDescent="0.35">
      <c r="AH8">
        <f>+Summary!AC44-Summary!AC45</f>
        <v>46.410624509742547</v>
      </c>
    </row>
    <row r="9" spans="1:34" x14ac:dyDescent="0.35">
      <c r="A9" t="s">
        <v>36</v>
      </c>
      <c r="D9" t="s">
        <v>23</v>
      </c>
      <c r="AH9">
        <f>+Summary!AC45-Summary!AC46</f>
        <v>46.41062450974232</v>
      </c>
    </row>
    <row r="10" spans="1:34" x14ac:dyDescent="0.35">
      <c r="A10" s="1" t="s">
        <v>8</v>
      </c>
      <c r="B10" s="1" t="s">
        <v>9</v>
      </c>
      <c r="C10" s="1" t="s">
        <v>2</v>
      </c>
      <c r="AH10">
        <f>+Summary!AC46-Summary!AC47</f>
        <v>46.41062450974232</v>
      </c>
    </row>
    <row r="11" spans="1:34" x14ac:dyDescent="0.35">
      <c r="A11" s="1" t="s">
        <v>10</v>
      </c>
      <c r="B11" s="6">
        <v>0.58218233957425503</v>
      </c>
      <c r="C11" s="6">
        <v>-203.64746771916001</v>
      </c>
      <c r="AH11">
        <f>+Summary!AC47-AG12</f>
        <v>1685.6492068282623</v>
      </c>
    </row>
    <row r="12" spans="1:34" x14ac:dyDescent="0.35">
      <c r="A12" s="1" t="s">
        <v>11</v>
      </c>
      <c r="B12" s="6">
        <v>0.255493021223546</v>
      </c>
      <c r="C12" s="6">
        <v>601.39385356669402</v>
      </c>
    </row>
    <row r="13" spans="1:34" x14ac:dyDescent="0.35">
      <c r="A13" s="1" t="s">
        <v>12</v>
      </c>
      <c r="B13" s="6">
        <v>-0.12452145160745801</v>
      </c>
      <c r="C13" s="6">
        <v>804.71812786528005</v>
      </c>
    </row>
    <row r="14" spans="1:34" x14ac:dyDescent="0.35">
      <c r="A14" s="1" t="s">
        <v>13</v>
      </c>
      <c r="B14" s="6">
        <v>-0.32280480825976599</v>
      </c>
      <c r="C14" s="6">
        <v>1239.9326494490999</v>
      </c>
      <c r="J14" t="s">
        <v>37</v>
      </c>
      <c r="K14" s="4">
        <v>2200</v>
      </c>
      <c r="L14" s="4">
        <v>2300</v>
      </c>
      <c r="M14" s="4">
        <v>2400</v>
      </c>
      <c r="N14" s="4">
        <v>2500</v>
      </c>
      <c r="O14" s="4"/>
      <c r="P14" s="4"/>
      <c r="Q14" s="4">
        <v>2600</v>
      </c>
      <c r="R14" s="4">
        <v>2700</v>
      </c>
      <c r="S14" s="4">
        <v>2800</v>
      </c>
      <c r="T14" s="4">
        <v>2900</v>
      </c>
    </row>
    <row r="15" spans="1:34" x14ac:dyDescent="0.35">
      <c r="A15" s="1" t="s">
        <v>14</v>
      </c>
      <c r="B15" s="6">
        <v>-3.6146351050220703E-2</v>
      </c>
      <c r="C15" s="6">
        <v>603.92011254695501</v>
      </c>
      <c r="J15" s="1" t="s">
        <v>10</v>
      </c>
      <c r="K15" s="8">
        <f>+$B$11*K14+$C$11</f>
        <v>1077.153679344201</v>
      </c>
      <c r="L15" s="8">
        <f t="shared" ref="L15:T15" si="0">+$B$11*L14+$C$11</f>
        <v>1135.3719133016266</v>
      </c>
      <c r="M15" s="8">
        <f t="shared" si="0"/>
        <v>1193.5901472590522</v>
      </c>
      <c r="N15" s="8">
        <f t="shared" si="0"/>
        <v>1251.8083812164775</v>
      </c>
      <c r="O15" s="8"/>
      <c r="P15" s="8"/>
      <c r="Q15" s="8">
        <f t="shared" si="0"/>
        <v>1310.0266151739031</v>
      </c>
      <c r="R15" s="8">
        <f t="shared" si="0"/>
        <v>1368.2448491313287</v>
      </c>
      <c r="S15" s="8">
        <f t="shared" si="0"/>
        <v>1426.463083088754</v>
      </c>
      <c r="T15" s="8">
        <f t="shared" si="0"/>
        <v>1484.6813170461796</v>
      </c>
    </row>
    <row r="16" spans="1:34" x14ac:dyDescent="0.35">
      <c r="A16" s="1" t="s">
        <v>15</v>
      </c>
      <c r="B16" s="6">
        <v>3.2483409122694797E-2</v>
      </c>
      <c r="C16" s="6">
        <v>237.99647448774101</v>
      </c>
      <c r="J16" s="1" t="s">
        <v>11</v>
      </c>
      <c r="K16" s="8">
        <f>+$B$12*K14+$C$12</f>
        <v>1163.4785002584954</v>
      </c>
      <c r="L16" s="8">
        <f t="shared" ref="L16:T16" si="1">+$B$12*L14+$C$12</f>
        <v>1189.0278023808498</v>
      </c>
      <c r="M16" s="8">
        <f t="shared" si="1"/>
        <v>1214.5771045032043</v>
      </c>
      <c r="N16" s="8">
        <f t="shared" si="1"/>
        <v>1240.126406625559</v>
      </c>
      <c r="O16" s="8"/>
      <c r="P16" s="8"/>
      <c r="Q16" s="8">
        <f t="shared" si="1"/>
        <v>1265.6757087479136</v>
      </c>
      <c r="R16" s="8">
        <f t="shared" si="1"/>
        <v>1291.2250108702683</v>
      </c>
      <c r="S16" s="8">
        <f t="shared" si="1"/>
        <v>1316.774312992623</v>
      </c>
      <c r="T16" s="8">
        <f t="shared" si="1"/>
        <v>1342.3236151149774</v>
      </c>
    </row>
    <row r="17" spans="1:20" x14ac:dyDescent="0.35">
      <c r="A17" s="1" t="s">
        <v>16</v>
      </c>
      <c r="B17" s="6">
        <v>3.3759687435936998E-2</v>
      </c>
      <c r="C17" s="6">
        <v>543.62925978453598</v>
      </c>
      <c r="J17" s="1" t="s">
        <v>12</v>
      </c>
      <c r="K17" s="8">
        <f>+$B$13*K14+$C$13</f>
        <v>530.7709343288725</v>
      </c>
      <c r="L17" s="8">
        <f t="shared" ref="L17:T17" si="2">+$B$13*L14+$C$13</f>
        <v>518.31878916812661</v>
      </c>
      <c r="M17" s="8">
        <f t="shared" si="2"/>
        <v>505.86664400738084</v>
      </c>
      <c r="N17" s="8">
        <f t="shared" si="2"/>
        <v>493.41449884663501</v>
      </c>
      <c r="O17" s="8"/>
      <c r="P17" s="8"/>
      <c r="Q17" s="8">
        <f t="shared" si="2"/>
        <v>480.96235368588924</v>
      </c>
      <c r="R17" s="8">
        <f t="shared" si="2"/>
        <v>468.51020852514341</v>
      </c>
      <c r="S17" s="8">
        <f t="shared" si="2"/>
        <v>456.05806336439764</v>
      </c>
      <c r="T17" s="8">
        <f t="shared" si="2"/>
        <v>443.60591820365181</v>
      </c>
    </row>
    <row r="18" spans="1:20" x14ac:dyDescent="0.35">
      <c r="A18" s="1" t="s">
        <v>17</v>
      </c>
      <c r="B18" s="6">
        <v>-2.9966779683901799E-2</v>
      </c>
      <c r="C18" s="6">
        <v>856.79767945823801</v>
      </c>
      <c r="J18" s="1" t="s">
        <v>13</v>
      </c>
      <c r="K18" s="8">
        <f>+$B$14*K14+$C$14</f>
        <v>529.76207127761472</v>
      </c>
      <c r="L18" s="8">
        <f t="shared" ref="L18:T18" si="3">+$B$14*L14+$C$14</f>
        <v>497.48159045163811</v>
      </c>
      <c r="M18" s="8">
        <f t="shared" si="3"/>
        <v>465.20110962566162</v>
      </c>
      <c r="N18" s="8">
        <f t="shared" si="3"/>
        <v>432.92062879968501</v>
      </c>
      <c r="O18" s="8"/>
      <c r="P18" s="8"/>
      <c r="Q18" s="8">
        <f t="shared" si="3"/>
        <v>400.64014797370839</v>
      </c>
      <c r="R18" s="8">
        <f t="shared" si="3"/>
        <v>368.35966714773178</v>
      </c>
      <c r="S18" s="8">
        <f t="shared" si="3"/>
        <v>336.07918632175517</v>
      </c>
      <c r="T18" s="8">
        <f t="shared" si="3"/>
        <v>303.79870549577856</v>
      </c>
    </row>
    <row r="19" spans="1:20" x14ac:dyDescent="0.35">
      <c r="A19" s="1" t="s">
        <v>18</v>
      </c>
      <c r="B19" s="6">
        <v>-5.2657080908686997E-3</v>
      </c>
      <c r="C19" s="6">
        <v>629.33288361693405</v>
      </c>
      <c r="J19" s="1" t="s">
        <v>14</v>
      </c>
      <c r="K19" s="8">
        <f>+$B$15*K14+$C$15</f>
        <v>524.39814023646943</v>
      </c>
      <c r="L19" s="8">
        <f t="shared" ref="L19:T19" si="4">+$B$15*L14+$C$15</f>
        <v>520.78350513144744</v>
      </c>
      <c r="M19" s="8">
        <f t="shared" si="4"/>
        <v>517.16887002642534</v>
      </c>
      <c r="N19" s="8">
        <f t="shared" si="4"/>
        <v>513.55423492140324</v>
      </c>
      <c r="O19" s="8"/>
      <c r="P19" s="8"/>
      <c r="Q19" s="8">
        <f t="shared" si="4"/>
        <v>509.93959981638119</v>
      </c>
      <c r="R19" s="8">
        <f t="shared" si="4"/>
        <v>506.32496471135914</v>
      </c>
      <c r="S19" s="8">
        <f t="shared" si="4"/>
        <v>502.71032960633704</v>
      </c>
      <c r="T19" s="8">
        <f t="shared" si="4"/>
        <v>499.09569450131494</v>
      </c>
    </row>
    <row r="20" spans="1:20" x14ac:dyDescent="0.35">
      <c r="A20" s="1" t="s">
        <v>19</v>
      </c>
      <c r="B20" s="6">
        <v>-2.0427950755962501E-2</v>
      </c>
      <c r="C20" s="6">
        <v>865.76375553240803</v>
      </c>
      <c r="J20" s="1" t="s">
        <v>15</v>
      </c>
      <c r="K20" s="8">
        <f>+$B$16*K14+$C$16</f>
        <v>309.45997455766957</v>
      </c>
      <c r="L20" s="8">
        <f t="shared" ref="L20:T20" si="5">+$B$16*L14+$C$16</f>
        <v>312.70831546993907</v>
      </c>
      <c r="M20" s="8">
        <f t="shared" si="5"/>
        <v>315.95665638220851</v>
      </c>
      <c r="N20" s="8">
        <f t="shared" si="5"/>
        <v>319.20499729447801</v>
      </c>
      <c r="O20" s="8"/>
      <c r="P20" s="8"/>
      <c r="Q20" s="8">
        <f t="shared" si="5"/>
        <v>322.4533382067475</v>
      </c>
      <c r="R20" s="8">
        <f t="shared" si="5"/>
        <v>325.70167911901694</v>
      </c>
      <c r="S20" s="8">
        <f t="shared" si="5"/>
        <v>328.95002003128644</v>
      </c>
      <c r="T20" s="8">
        <f t="shared" si="5"/>
        <v>332.19836094355594</v>
      </c>
    </row>
    <row r="21" spans="1:20" x14ac:dyDescent="0.35">
      <c r="A21" s="1" t="s">
        <v>20</v>
      </c>
      <c r="B21" s="6">
        <v>-5.6816462396265401E-2</v>
      </c>
      <c r="C21" s="6">
        <v>726.60210846641098</v>
      </c>
      <c r="J21" s="1" t="s">
        <v>16</v>
      </c>
      <c r="K21" s="8">
        <f>+$B$17*K14+$C$17</f>
        <v>617.9005721435974</v>
      </c>
      <c r="L21" s="8">
        <f t="shared" ref="L21:T21" si="6">+$B$17*L14+$C$17</f>
        <v>621.27654088719112</v>
      </c>
      <c r="M21" s="8">
        <f t="shared" si="6"/>
        <v>624.65250963078483</v>
      </c>
      <c r="N21" s="8">
        <f t="shared" si="6"/>
        <v>628.02847837437844</v>
      </c>
      <c r="O21" s="8"/>
      <c r="P21" s="8"/>
      <c r="Q21" s="8">
        <f t="shared" si="6"/>
        <v>631.40444711797215</v>
      </c>
      <c r="R21" s="8">
        <f t="shared" si="6"/>
        <v>634.78041586156587</v>
      </c>
      <c r="S21" s="8">
        <f t="shared" si="6"/>
        <v>638.15638460515959</v>
      </c>
      <c r="T21" s="8">
        <f t="shared" si="6"/>
        <v>641.5323533487533</v>
      </c>
    </row>
    <row r="22" spans="1:20" x14ac:dyDescent="0.35">
      <c r="J22" s="1" t="s">
        <v>17</v>
      </c>
      <c r="K22" s="8">
        <f>+$B$18*K14+$C$18</f>
        <v>790.87076415365402</v>
      </c>
      <c r="L22" s="8">
        <f t="shared" ref="L22:T22" si="7">+$B$18*L14+$C$18</f>
        <v>787.87408618526388</v>
      </c>
      <c r="M22" s="8">
        <f t="shared" si="7"/>
        <v>784.87740821687373</v>
      </c>
      <c r="N22" s="8">
        <f t="shared" si="7"/>
        <v>781.88073024848347</v>
      </c>
      <c r="O22" s="8"/>
      <c r="P22" s="8"/>
      <c r="Q22" s="8">
        <f t="shared" si="7"/>
        <v>778.88405228009333</v>
      </c>
      <c r="R22" s="8">
        <f t="shared" si="7"/>
        <v>775.88737431170318</v>
      </c>
      <c r="S22" s="8">
        <f t="shared" si="7"/>
        <v>772.89069634331292</v>
      </c>
      <c r="T22" s="8">
        <f t="shared" si="7"/>
        <v>769.89401837492278</v>
      </c>
    </row>
    <row r="23" spans="1:20" x14ac:dyDescent="0.35">
      <c r="J23" s="1" t="s">
        <v>18</v>
      </c>
      <c r="K23" s="8">
        <f>+$B$19*K14+$C$19</f>
        <v>617.74832581702287</v>
      </c>
      <c r="L23" s="8">
        <f t="shared" ref="L23:T23" si="8">+$B$19*L14+$C$19</f>
        <v>617.22175500793605</v>
      </c>
      <c r="M23" s="8">
        <f t="shared" si="8"/>
        <v>616.69518419884912</v>
      </c>
      <c r="N23" s="8">
        <f t="shared" si="8"/>
        <v>616.1686133897623</v>
      </c>
      <c r="O23" s="8"/>
      <c r="P23" s="8"/>
      <c r="Q23" s="8">
        <f t="shared" si="8"/>
        <v>615.64204258067548</v>
      </c>
      <c r="R23" s="8">
        <f t="shared" si="8"/>
        <v>615.11547177158855</v>
      </c>
      <c r="S23" s="8">
        <f t="shared" si="8"/>
        <v>614.58890096250173</v>
      </c>
      <c r="T23" s="8">
        <f t="shared" si="8"/>
        <v>614.06233015341479</v>
      </c>
    </row>
    <row r="24" spans="1:20" x14ac:dyDescent="0.35">
      <c r="A24" t="s">
        <v>21</v>
      </c>
      <c r="D24" t="s">
        <v>22</v>
      </c>
      <c r="J24" s="1" t="s">
        <v>19</v>
      </c>
      <c r="K24" s="8">
        <f>+$B$20*K14+$C$20</f>
        <v>820.82226386929051</v>
      </c>
      <c r="L24" s="8">
        <f t="shared" ref="L24:T24" si="9">+$B$20*L14+$C$20</f>
        <v>818.77946879369426</v>
      </c>
      <c r="M24" s="8">
        <f t="shared" si="9"/>
        <v>816.73667371809802</v>
      </c>
      <c r="N24" s="8">
        <f t="shared" si="9"/>
        <v>814.69387864250177</v>
      </c>
      <c r="O24" s="8"/>
      <c r="P24" s="8"/>
      <c r="Q24" s="8">
        <f t="shared" si="9"/>
        <v>812.65108356690553</v>
      </c>
      <c r="R24" s="8">
        <f t="shared" si="9"/>
        <v>810.60828849130928</v>
      </c>
      <c r="S24" s="8">
        <f t="shared" si="9"/>
        <v>808.56549341571304</v>
      </c>
      <c r="T24" s="8">
        <f t="shared" si="9"/>
        <v>806.52269834011679</v>
      </c>
    </row>
    <row r="25" spans="1:20" x14ac:dyDescent="0.35">
      <c r="A25" s="1" t="s">
        <v>8</v>
      </c>
      <c r="B25" s="1" t="s">
        <v>9</v>
      </c>
      <c r="C25" s="1" t="s">
        <v>2</v>
      </c>
      <c r="J25" s="1" t="s">
        <v>20</v>
      </c>
      <c r="K25" s="8">
        <f>+$B$21*K14+$C$21</f>
        <v>601.60589119462713</v>
      </c>
      <c r="L25" s="8">
        <f t="shared" ref="L25:T25" si="10">+$B$21*L14+$C$21</f>
        <v>595.92424495500063</v>
      </c>
      <c r="M25" s="8">
        <f t="shared" si="10"/>
        <v>590.24259871537402</v>
      </c>
      <c r="N25" s="8">
        <f t="shared" si="10"/>
        <v>584.56095247574751</v>
      </c>
      <c r="O25" s="8"/>
      <c r="P25" s="8"/>
      <c r="Q25" s="8">
        <f t="shared" si="10"/>
        <v>578.87930623612101</v>
      </c>
      <c r="R25" s="8">
        <f t="shared" si="10"/>
        <v>573.19765999649439</v>
      </c>
      <c r="S25" s="8">
        <f t="shared" si="10"/>
        <v>567.51601375686789</v>
      </c>
      <c r="T25" s="8">
        <f t="shared" si="10"/>
        <v>561.83436751724139</v>
      </c>
    </row>
    <row r="26" spans="1:20" x14ac:dyDescent="0.35">
      <c r="A26" s="1" t="s">
        <v>10</v>
      </c>
      <c r="B26" s="6">
        <v>-2.43774441550124</v>
      </c>
      <c r="C26" s="6">
        <v>4140.8882024193799</v>
      </c>
    </row>
    <row r="27" spans="1:20" x14ac:dyDescent="0.35">
      <c r="A27" s="1" t="s">
        <v>11</v>
      </c>
      <c r="B27" s="6">
        <v>0.71135683993195498</v>
      </c>
      <c r="C27" s="6">
        <v>-25.7624580207622</v>
      </c>
    </row>
    <row r="28" spans="1:20" x14ac:dyDescent="0.35">
      <c r="A28" s="1" t="s">
        <v>12</v>
      </c>
      <c r="B28" s="6">
        <v>1.5300796314254499</v>
      </c>
      <c r="C28" s="6">
        <v>-146.38822197696399</v>
      </c>
    </row>
    <row r="29" spans="1:20" x14ac:dyDescent="0.35">
      <c r="A29" s="1" t="s">
        <v>13</v>
      </c>
      <c r="B29" s="6">
        <v>0.140492177382643</v>
      </c>
      <c r="C29" s="6">
        <v>64.090187199363498</v>
      </c>
      <c r="E29">
        <f>+C29/B29</f>
        <v>456.18331492441854</v>
      </c>
    </row>
    <row r="30" spans="1:20" x14ac:dyDescent="0.35">
      <c r="A30" s="1" t="s">
        <v>14</v>
      </c>
      <c r="B30" s="6">
        <v>0.17258408426484301</v>
      </c>
      <c r="C30" s="6">
        <v>729.24318586316804</v>
      </c>
    </row>
    <row r="31" spans="1:20" x14ac:dyDescent="0.35">
      <c r="A31" s="1" t="s">
        <v>15</v>
      </c>
      <c r="B31" s="6">
        <v>0.40871200019156301</v>
      </c>
      <c r="C31" s="6">
        <v>178.98826327902799</v>
      </c>
    </row>
    <row r="32" spans="1:20" x14ac:dyDescent="0.35">
      <c r="A32" s="1" t="s">
        <v>47</v>
      </c>
      <c r="B32" s="6">
        <v>-1.9093673766649599</v>
      </c>
      <c r="C32" s="6">
        <v>1354.81185232743</v>
      </c>
    </row>
    <row r="33" spans="1:3" x14ac:dyDescent="0.35">
      <c r="A33" s="1" t="s">
        <v>48</v>
      </c>
      <c r="B33" s="6">
        <v>-0.98447394651512199</v>
      </c>
      <c r="C33" s="6">
        <v>1933.2377589294899</v>
      </c>
    </row>
    <row r="34" spans="1:3" x14ac:dyDescent="0.35">
      <c r="A34" s="1" t="s">
        <v>16</v>
      </c>
      <c r="B34" s="6">
        <v>-9.8255837124864005</v>
      </c>
      <c r="C34" s="6">
        <v>6540.0025300433899</v>
      </c>
    </row>
    <row r="35" spans="1:3" x14ac:dyDescent="0.35">
      <c r="A35" s="1" t="s">
        <v>17</v>
      </c>
      <c r="B35" s="6">
        <v>-4.6984387025920302</v>
      </c>
      <c r="C35" s="6">
        <v>4637.3571745139197</v>
      </c>
    </row>
    <row r="36" spans="1:3" x14ac:dyDescent="0.35">
      <c r="A36" s="1" t="s">
        <v>18</v>
      </c>
      <c r="B36" s="6">
        <v>3.8773980818693798E-17</v>
      </c>
      <c r="C36" s="6">
        <v>-23.302129999999998</v>
      </c>
    </row>
    <row r="37" spans="1:3" x14ac:dyDescent="0.35">
      <c r="A37" t="s">
        <v>19</v>
      </c>
      <c r="B37">
        <v>-2.5879953286196199E-16</v>
      </c>
      <c r="C37">
        <v>409.13549999999998</v>
      </c>
    </row>
    <row r="39" spans="1:3" x14ac:dyDescent="0.35">
      <c r="A39" s="2" t="s">
        <v>8</v>
      </c>
      <c r="B39" s="2" t="s">
        <v>24</v>
      </c>
      <c r="C39" s="2" t="s">
        <v>25</v>
      </c>
    </row>
    <row r="40" spans="1:3" x14ac:dyDescent="0.35">
      <c r="A40" s="1" t="s">
        <v>10</v>
      </c>
      <c r="B40" s="6">
        <v>-2.43774441550124</v>
      </c>
      <c r="C40" s="6">
        <v>0.73</v>
      </c>
    </row>
    <row r="41" spans="1:3" x14ac:dyDescent="0.35">
      <c r="A41" s="1" t="s">
        <v>11</v>
      </c>
      <c r="B41" s="6">
        <v>0.71135683993195498</v>
      </c>
      <c r="C41" s="6">
        <v>0.83699999999999997</v>
      </c>
    </row>
    <row r="42" spans="1:3" x14ac:dyDescent="0.35">
      <c r="A42" s="1" t="s">
        <v>12</v>
      </c>
      <c r="B42" s="6">
        <v>1.5300796314254499</v>
      </c>
      <c r="C42" s="6">
        <v>0.54</v>
      </c>
    </row>
    <row r="43" spans="1:3" x14ac:dyDescent="0.35">
      <c r="A43" s="1" t="s">
        <v>13</v>
      </c>
      <c r="B43" s="6">
        <v>0.140492177382643</v>
      </c>
      <c r="C43" s="6">
        <v>0.37</v>
      </c>
    </row>
    <row r="44" spans="1:3" x14ac:dyDescent="0.35">
      <c r="A44" s="1" t="s">
        <v>14</v>
      </c>
      <c r="B44" s="6">
        <v>0.17258408426484301</v>
      </c>
      <c r="C44" s="6">
        <v>0.1</v>
      </c>
    </row>
    <row r="45" spans="1:3" x14ac:dyDescent="0.35">
      <c r="A45" s="1" t="s">
        <v>15</v>
      </c>
      <c r="B45" s="6">
        <v>0.40871200019156301</v>
      </c>
      <c r="C45" s="6">
        <v>0.15</v>
      </c>
    </row>
    <row r="46" spans="1:3" x14ac:dyDescent="0.35">
      <c r="A46" s="1" t="s">
        <v>47</v>
      </c>
      <c r="B46" s="6">
        <v>-1.9093673766649599</v>
      </c>
      <c r="C46" s="6">
        <v>1354.81185232743</v>
      </c>
    </row>
    <row r="47" spans="1:3" x14ac:dyDescent="0.35">
      <c r="A47" s="1" t="s">
        <v>48</v>
      </c>
      <c r="B47" s="6">
        <v>-0.98447394651512199</v>
      </c>
      <c r="C47" s="6">
        <v>1933.2377589294899</v>
      </c>
    </row>
    <row r="48" spans="1:3" x14ac:dyDescent="0.35">
      <c r="A48" s="1" t="s">
        <v>16</v>
      </c>
      <c r="B48" s="6">
        <v>-9.8255837124864005</v>
      </c>
      <c r="C48" s="6">
        <v>6540.0025300433899</v>
      </c>
    </row>
    <row r="49" spans="1:3" x14ac:dyDescent="0.35">
      <c r="A49" s="1" t="s">
        <v>17</v>
      </c>
      <c r="B49" s="6">
        <v>-4.6984387025920302</v>
      </c>
      <c r="C49" s="6">
        <v>4637.3571745139197</v>
      </c>
    </row>
    <row r="50" spans="1:3" x14ac:dyDescent="0.35">
      <c r="A50" s="1" t="s">
        <v>18</v>
      </c>
      <c r="B50" s="6">
        <v>3.8773980818693798E-17</v>
      </c>
      <c r="C50" s="6">
        <v>-23.302129999999998</v>
      </c>
    </row>
    <row r="51" spans="1:3" x14ac:dyDescent="0.35">
      <c r="A51" s="1" t="s">
        <v>19</v>
      </c>
      <c r="B51">
        <v>-2.5879953286196199E-16</v>
      </c>
      <c r="C51">
        <v>409.13549999999998</v>
      </c>
    </row>
    <row r="53" spans="1:3" x14ac:dyDescent="0.35">
      <c r="A53" s="3" t="s">
        <v>27</v>
      </c>
    </row>
    <row r="54" spans="1:3" x14ac:dyDescent="0.35">
      <c r="A54" s="1"/>
      <c r="B54" s="1"/>
    </row>
    <row r="55" spans="1:3" x14ac:dyDescent="0.35">
      <c r="A55" s="1" t="s">
        <v>4</v>
      </c>
      <c r="B55" s="6">
        <f>2697-2425</f>
        <v>272</v>
      </c>
    </row>
    <row r="56" spans="1:3" x14ac:dyDescent="0.35">
      <c r="A56" s="1" t="s">
        <v>28</v>
      </c>
      <c r="B56" s="6">
        <f>2697-2404</f>
        <v>293</v>
      </c>
    </row>
    <row r="57" spans="1:3" x14ac:dyDescent="0.35">
      <c r="A57" s="1" t="s">
        <v>29</v>
      </c>
      <c r="B57" s="6">
        <f>2697-2442</f>
        <v>255</v>
      </c>
    </row>
    <row r="58" spans="1:3" x14ac:dyDescent="0.35">
      <c r="A58" s="1" t="s">
        <v>30</v>
      </c>
      <c r="B58" s="6">
        <f>2697-2446</f>
        <v>251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EBAB-C5F5-4E0B-86F1-B3761C177D0B}">
  <dimension ref="A2:AI57"/>
  <sheetViews>
    <sheetView zoomScaleNormal="100" workbookViewId="0">
      <pane xSplit="10" topLeftCell="K1" activePane="topRight" state="frozen"/>
      <selection pane="topRight" activeCell="J1" sqref="J1:AH11"/>
    </sheetView>
  </sheetViews>
  <sheetFormatPr defaultRowHeight="14.5" x14ac:dyDescent="0.35"/>
  <cols>
    <col min="1" max="1" width="14.1796875" customWidth="1"/>
    <col min="3" max="3" width="10.81640625" customWidth="1"/>
    <col min="11" max="12" width="10.81640625" customWidth="1"/>
    <col min="13" max="13" width="10.453125" customWidth="1"/>
    <col min="14" max="16" width="17.1796875" customWidth="1"/>
    <col min="17" max="17" width="11.81640625" customWidth="1"/>
  </cols>
  <sheetData>
    <row r="2" spans="1:35" x14ac:dyDescent="0.35">
      <c r="A2" t="s">
        <v>7</v>
      </c>
      <c r="E2" t="s">
        <v>26</v>
      </c>
    </row>
    <row r="3" spans="1:35" x14ac:dyDescent="0.35">
      <c r="A3" s="1" t="s">
        <v>5</v>
      </c>
      <c r="B3" s="1" t="s">
        <v>1</v>
      </c>
      <c r="C3" s="1" t="s">
        <v>2</v>
      </c>
      <c r="D3" s="1" t="s">
        <v>3</v>
      </c>
      <c r="AI3">
        <f>+Summary!AC26-Summary!AC27</f>
        <v>3.9906412232674029</v>
      </c>
    </row>
    <row r="4" spans="1:35" x14ac:dyDescent="0.35">
      <c r="A4" s="1" t="s">
        <v>0</v>
      </c>
      <c r="B4" s="5">
        <v>-6.6095060254029898E-7</v>
      </c>
      <c r="C4" s="6">
        <v>-1.5489711869216299E-2</v>
      </c>
      <c r="D4" s="6">
        <v>3971.4005378139</v>
      </c>
      <c r="AI4">
        <f>+Summary!AC27-Summary!AC28</f>
        <v>3.9906412232674029</v>
      </c>
    </row>
    <row r="5" spans="1:35" x14ac:dyDescent="0.35">
      <c r="A5" s="1" t="s">
        <v>4</v>
      </c>
      <c r="B5" s="5">
        <v>-1.0008492374194501E-6</v>
      </c>
      <c r="C5" s="6">
        <v>1.5104374092221101E-2</v>
      </c>
      <c r="D5" s="6">
        <v>3248.5693249793699</v>
      </c>
      <c r="AI5">
        <f>+Summary!AC28-Summary!AC29</f>
        <v>3.9906412232674029</v>
      </c>
    </row>
    <row r="6" spans="1:35" x14ac:dyDescent="0.35">
      <c r="A6" s="1" t="s">
        <v>6</v>
      </c>
      <c r="B6" s="5">
        <v>-1.75394995854E-6</v>
      </c>
      <c r="C6" s="6">
        <v>7.7867326308086501E-2</v>
      </c>
      <c r="D6" s="6">
        <v>2151.0520596157598</v>
      </c>
      <c r="AI6">
        <f>+Summary!AC29-Summary!AC30</f>
        <v>3.9906412232674029</v>
      </c>
    </row>
    <row r="7" spans="1:35" x14ac:dyDescent="0.35">
      <c r="AI7">
        <f>+Summary!AC30-Summary!AC31</f>
        <v>3.9906412232676303</v>
      </c>
    </row>
    <row r="8" spans="1:35" x14ac:dyDescent="0.35">
      <c r="AI8">
        <f>+Summary!AC31-Summary!AC32</f>
        <v>3.9906412232676303</v>
      </c>
    </row>
    <row r="9" spans="1:35" x14ac:dyDescent="0.35">
      <c r="A9" t="s">
        <v>36</v>
      </c>
      <c r="D9" t="s">
        <v>23</v>
      </c>
      <c r="AI9">
        <f>+Summary!AC32-Summary!AC33</f>
        <v>3.9906412232669481</v>
      </c>
    </row>
    <row r="10" spans="1:35" x14ac:dyDescent="0.35">
      <c r="A10" s="1" t="s">
        <v>8</v>
      </c>
      <c r="B10" s="1" t="s">
        <v>9</v>
      </c>
      <c r="C10" s="1" t="s">
        <v>2</v>
      </c>
      <c r="AI10">
        <f>+Summary!AC33-Summary!AC34</f>
        <v>3.9906412232674029</v>
      </c>
    </row>
    <row r="11" spans="1:35" x14ac:dyDescent="0.35">
      <c r="A11" s="1" t="s">
        <v>10</v>
      </c>
      <c r="B11" s="6">
        <v>-0.11579173865784299</v>
      </c>
      <c r="C11" s="6">
        <v>1442.02117439784</v>
      </c>
      <c r="AI11">
        <f>+Summary!AC34-AH12</f>
        <v>1843.4886299269515</v>
      </c>
    </row>
    <row r="12" spans="1:35" x14ac:dyDescent="0.35">
      <c r="A12" s="1" t="s">
        <v>11</v>
      </c>
      <c r="B12" s="6">
        <v>0.255493021223546</v>
      </c>
      <c r="C12" s="6">
        <v>601.39385356669402</v>
      </c>
    </row>
    <row r="13" spans="1:35" x14ac:dyDescent="0.35">
      <c r="A13" s="1" t="s">
        <v>12</v>
      </c>
      <c r="B13" s="6">
        <v>-0.138980403184851</v>
      </c>
      <c r="C13" s="6">
        <v>779.07049418977294</v>
      </c>
    </row>
    <row r="14" spans="1:35" x14ac:dyDescent="0.35">
      <c r="A14" s="1" t="s">
        <v>13</v>
      </c>
      <c r="B14" s="6">
        <v>-8.91686689380249E-2</v>
      </c>
      <c r="C14" s="6">
        <v>678.62931229415597</v>
      </c>
      <c r="J14" t="s">
        <v>37</v>
      </c>
      <c r="K14" s="4">
        <v>2200</v>
      </c>
      <c r="L14" s="4">
        <v>2300</v>
      </c>
      <c r="M14" s="4">
        <v>2400</v>
      </c>
      <c r="N14" s="4">
        <v>2500</v>
      </c>
      <c r="O14" s="4"/>
      <c r="P14" s="4"/>
      <c r="Q14" s="4">
        <v>2600</v>
      </c>
      <c r="R14" s="4">
        <v>2700</v>
      </c>
      <c r="S14" s="4">
        <v>2800</v>
      </c>
      <c r="T14" s="4">
        <v>2900</v>
      </c>
    </row>
    <row r="15" spans="1:35" x14ac:dyDescent="0.35">
      <c r="A15" s="1" t="s">
        <v>14</v>
      </c>
      <c r="B15" s="6">
        <v>-8.02991165343599E-3</v>
      </c>
      <c r="C15" s="6">
        <v>534.46195922176196</v>
      </c>
      <c r="J15" s="1" t="s">
        <v>10</v>
      </c>
      <c r="K15" s="8">
        <f>+$B$11*K14+$C$11</f>
        <v>1187.2793493505853</v>
      </c>
      <c r="L15" s="8">
        <f t="shared" ref="L15:T15" si="0">+$B$11*L14+$C$11</f>
        <v>1175.7001754848011</v>
      </c>
      <c r="M15" s="8">
        <f t="shared" si="0"/>
        <v>1164.1210016190169</v>
      </c>
      <c r="N15" s="8">
        <f t="shared" si="0"/>
        <v>1152.5418277532326</v>
      </c>
      <c r="O15" s="8"/>
      <c r="P15" s="8"/>
      <c r="Q15" s="8">
        <f t="shared" si="0"/>
        <v>1140.9626538874481</v>
      </c>
      <c r="R15" s="8">
        <f t="shared" si="0"/>
        <v>1129.3834800216639</v>
      </c>
      <c r="S15" s="8">
        <f t="shared" si="0"/>
        <v>1117.8043061558797</v>
      </c>
      <c r="T15" s="8">
        <f t="shared" si="0"/>
        <v>1106.2251322900954</v>
      </c>
    </row>
    <row r="16" spans="1:35" x14ac:dyDescent="0.35">
      <c r="A16" s="1" t="s">
        <v>15</v>
      </c>
      <c r="B16" s="6">
        <v>3.1361925025801998E-2</v>
      </c>
      <c r="C16" s="6">
        <v>251.26995495366</v>
      </c>
      <c r="J16" s="1" t="s">
        <v>11</v>
      </c>
      <c r="K16" s="8">
        <f>+$B$12*K14+$C$12</f>
        <v>1163.4785002584954</v>
      </c>
      <c r="L16" s="8">
        <f t="shared" ref="L16:T16" si="1">+$B$12*L14+$C$12</f>
        <v>1189.0278023808498</v>
      </c>
      <c r="M16" s="8">
        <f t="shared" si="1"/>
        <v>1214.5771045032043</v>
      </c>
      <c r="N16" s="8">
        <f t="shared" si="1"/>
        <v>1240.126406625559</v>
      </c>
      <c r="O16" s="8"/>
      <c r="P16" s="8"/>
      <c r="Q16" s="8">
        <f t="shared" si="1"/>
        <v>1265.6757087479136</v>
      </c>
      <c r="R16" s="8">
        <f t="shared" si="1"/>
        <v>1291.2250108702683</v>
      </c>
      <c r="S16" s="8">
        <f t="shared" si="1"/>
        <v>1316.774312992623</v>
      </c>
      <c r="T16" s="8">
        <f t="shared" si="1"/>
        <v>1342.3236151149774</v>
      </c>
    </row>
    <row r="17" spans="1:20" x14ac:dyDescent="0.35">
      <c r="A17" s="1" t="s">
        <v>16</v>
      </c>
      <c r="B17" s="6">
        <v>-6.5327537133276501E-3</v>
      </c>
      <c r="C17" s="6">
        <v>646.25726589262194</v>
      </c>
      <c r="J17" s="1" t="s">
        <v>12</v>
      </c>
      <c r="K17" s="8">
        <f>+$B$13*K14+$C$13</f>
        <v>473.31360718310077</v>
      </c>
      <c r="L17" s="8">
        <f t="shared" ref="L17:T17" si="2">+$B$13*L14+$C$13</f>
        <v>459.41556686461564</v>
      </c>
      <c r="M17" s="8">
        <f t="shared" si="2"/>
        <v>445.51752654613057</v>
      </c>
      <c r="N17" s="8">
        <f t="shared" si="2"/>
        <v>431.61948622764544</v>
      </c>
      <c r="O17" s="8"/>
      <c r="P17" s="8"/>
      <c r="Q17" s="8">
        <f t="shared" si="2"/>
        <v>417.72144590916037</v>
      </c>
      <c r="R17" s="8">
        <f t="shared" si="2"/>
        <v>403.82340559067524</v>
      </c>
      <c r="S17" s="8">
        <f t="shared" si="2"/>
        <v>389.92536527219016</v>
      </c>
      <c r="T17" s="8">
        <f t="shared" si="2"/>
        <v>376.02732495370503</v>
      </c>
    </row>
    <row r="18" spans="1:20" x14ac:dyDescent="0.35">
      <c r="A18" s="1" t="s">
        <v>17</v>
      </c>
      <c r="B18" s="6">
        <v>-1.68498362762745E-2</v>
      </c>
      <c r="C18" s="6">
        <v>817.77531179054495</v>
      </c>
      <c r="J18" s="1" t="s">
        <v>13</v>
      </c>
      <c r="K18" s="8">
        <f>+$B$14*K14+$C$14</f>
        <v>482.45824063050122</v>
      </c>
      <c r="L18" s="8">
        <f t="shared" ref="L18:T18" si="3">+$B$14*L14+$C$14</f>
        <v>473.54137373669869</v>
      </c>
      <c r="M18" s="8">
        <f t="shared" si="3"/>
        <v>464.62450684289621</v>
      </c>
      <c r="N18" s="8">
        <f t="shared" si="3"/>
        <v>455.70763994909373</v>
      </c>
      <c r="O18" s="8"/>
      <c r="P18" s="8"/>
      <c r="Q18" s="8">
        <f t="shared" si="3"/>
        <v>446.7907730552912</v>
      </c>
      <c r="R18" s="8">
        <f t="shared" si="3"/>
        <v>437.87390616148878</v>
      </c>
      <c r="S18" s="8">
        <f t="shared" si="3"/>
        <v>428.95703926768624</v>
      </c>
      <c r="T18" s="8">
        <f t="shared" si="3"/>
        <v>420.04017237388376</v>
      </c>
    </row>
    <row r="19" spans="1:20" x14ac:dyDescent="0.35">
      <c r="A19" s="1" t="s">
        <v>18</v>
      </c>
      <c r="B19" s="6">
        <v>-1.6142698099958001E-2</v>
      </c>
      <c r="C19" s="6">
        <v>679.17506157074297</v>
      </c>
      <c r="J19" s="1" t="s">
        <v>14</v>
      </c>
      <c r="K19" s="8">
        <f>+$B$15*K14+$C$15</f>
        <v>516.79615358420278</v>
      </c>
      <c r="L19" s="8">
        <f t="shared" ref="L19:T19" si="4">+$B$15*L14+$C$15</f>
        <v>515.99316241885913</v>
      </c>
      <c r="M19" s="8">
        <f t="shared" si="4"/>
        <v>515.19017125351559</v>
      </c>
      <c r="N19" s="8">
        <f t="shared" si="4"/>
        <v>514.38718008817193</v>
      </c>
      <c r="O19" s="8"/>
      <c r="P19" s="8"/>
      <c r="Q19" s="8">
        <f t="shared" si="4"/>
        <v>513.58418892282839</v>
      </c>
      <c r="R19" s="8">
        <f t="shared" si="4"/>
        <v>512.78119775748473</v>
      </c>
      <c r="S19" s="8">
        <f t="shared" si="4"/>
        <v>511.97820659214119</v>
      </c>
      <c r="T19" s="8">
        <f t="shared" si="4"/>
        <v>511.17521542679759</v>
      </c>
    </row>
    <row r="20" spans="1:20" x14ac:dyDescent="0.35">
      <c r="A20" s="1" t="s">
        <v>19</v>
      </c>
      <c r="B20" s="6">
        <v>-1.07646758711371E-2</v>
      </c>
      <c r="C20" s="6">
        <v>836.46350886622895</v>
      </c>
      <c r="J20" s="1" t="s">
        <v>15</v>
      </c>
      <c r="K20" s="8">
        <f>+$B$16*K14+$C$16</f>
        <v>320.2661900104244</v>
      </c>
      <c r="L20" s="8">
        <f t="shared" ref="L20:T20" si="5">+$B$16*L14+$C$16</f>
        <v>323.40238251300457</v>
      </c>
      <c r="M20" s="8">
        <f t="shared" si="5"/>
        <v>326.5385750155848</v>
      </c>
      <c r="N20" s="8">
        <f t="shared" si="5"/>
        <v>329.67476751816503</v>
      </c>
      <c r="O20" s="8"/>
      <c r="P20" s="8"/>
      <c r="Q20" s="8">
        <f t="shared" si="5"/>
        <v>332.8109600207452</v>
      </c>
      <c r="R20" s="8">
        <f t="shared" si="5"/>
        <v>335.94715252332537</v>
      </c>
      <c r="S20" s="8">
        <f t="shared" si="5"/>
        <v>339.0833450259056</v>
      </c>
      <c r="T20" s="8">
        <f t="shared" si="5"/>
        <v>342.21953752848583</v>
      </c>
    </row>
    <row r="21" spans="1:20" x14ac:dyDescent="0.35">
      <c r="A21" s="1" t="s">
        <v>20</v>
      </c>
      <c r="B21" s="6">
        <v>-1.0730247489913599E-2</v>
      </c>
      <c r="C21" s="6">
        <v>603.50903296163006</v>
      </c>
      <c r="J21" s="1" t="s">
        <v>16</v>
      </c>
      <c r="K21" s="8">
        <f>+$B$17*K14+$C$17</f>
        <v>631.88520772330116</v>
      </c>
      <c r="L21" s="8">
        <f t="shared" ref="L21:T21" si="6">+$B$17*L14+$C$17</f>
        <v>631.23193235196834</v>
      </c>
      <c r="M21" s="8">
        <f t="shared" si="6"/>
        <v>630.57865698063563</v>
      </c>
      <c r="N21" s="8">
        <f t="shared" si="6"/>
        <v>629.9253816093028</v>
      </c>
      <c r="O21" s="8"/>
      <c r="P21" s="8"/>
      <c r="Q21" s="8">
        <f t="shared" si="6"/>
        <v>629.27210623797009</v>
      </c>
      <c r="R21" s="8">
        <f t="shared" si="6"/>
        <v>628.61883086663727</v>
      </c>
      <c r="S21" s="8">
        <f t="shared" si="6"/>
        <v>627.96555549530456</v>
      </c>
      <c r="T21" s="8">
        <f t="shared" si="6"/>
        <v>627.31228012397173</v>
      </c>
    </row>
    <row r="22" spans="1:20" x14ac:dyDescent="0.35">
      <c r="J22" s="1" t="s">
        <v>17</v>
      </c>
      <c r="K22" s="8">
        <f>+$B$18*K14+$C$18</f>
        <v>780.70567198274102</v>
      </c>
      <c r="L22" s="8">
        <f t="shared" ref="L22:T22" si="7">+$B$18*L14+$C$18</f>
        <v>779.02068835511363</v>
      </c>
      <c r="M22" s="8">
        <f t="shared" si="7"/>
        <v>777.33570472748613</v>
      </c>
      <c r="N22" s="8">
        <f t="shared" si="7"/>
        <v>775.65072109985874</v>
      </c>
      <c r="O22" s="8"/>
      <c r="P22" s="8"/>
      <c r="Q22" s="8">
        <f t="shared" si="7"/>
        <v>773.96573747223124</v>
      </c>
      <c r="R22" s="8">
        <f t="shared" si="7"/>
        <v>772.28075384460385</v>
      </c>
      <c r="S22" s="8">
        <f t="shared" si="7"/>
        <v>770.59577021697635</v>
      </c>
      <c r="T22" s="8">
        <f t="shared" si="7"/>
        <v>768.91078658934885</v>
      </c>
    </row>
    <row r="23" spans="1:20" x14ac:dyDescent="0.35">
      <c r="J23" s="1" t="s">
        <v>18</v>
      </c>
      <c r="K23" s="8">
        <f>+$B$19*K14+$C$19</f>
        <v>643.66112575083537</v>
      </c>
      <c r="L23" s="8">
        <f t="shared" ref="L23:T23" si="8">+$B$19*L14+$C$19</f>
        <v>642.04685594083958</v>
      </c>
      <c r="M23" s="8">
        <f t="shared" si="8"/>
        <v>640.43258613084379</v>
      </c>
      <c r="N23" s="8">
        <f t="shared" si="8"/>
        <v>638.818316320848</v>
      </c>
      <c r="O23" s="8"/>
      <c r="P23" s="8"/>
      <c r="Q23" s="8">
        <f t="shared" si="8"/>
        <v>637.20404651085221</v>
      </c>
      <c r="R23" s="8">
        <f t="shared" si="8"/>
        <v>635.58977670085642</v>
      </c>
      <c r="S23" s="8">
        <f t="shared" si="8"/>
        <v>633.97550689086052</v>
      </c>
      <c r="T23" s="8">
        <f t="shared" si="8"/>
        <v>632.36123708086473</v>
      </c>
    </row>
    <row r="24" spans="1:20" x14ac:dyDescent="0.35">
      <c r="A24" t="s">
        <v>21</v>
      </c>
      <c r="D24" t="s">
        <v>22</v>
      </c>
      <c r="J24" s="1" t="s">
        <v>19</v>
      </c>
      <c r="K24" s="8">
        <f>+$B$20*K14+$C$20</f>
        <v>812.7812219497273</v>
      </c>
      <c r="L24" s="8">
        <f t="shared" ref="L24:T24" si="9">+$B$20*L14+$C$20</f>
        <v>811.70475436261358</v>
      </c>
      <c r="M24" s="8">
        <f t="shared" si="9"/>
        <v>810.62828677549987</v>
      </c>
      <c r="N24" s="8">
        <f t="shared" si="9"/>
        <v>809.55181918838616</v>
      </c>
      <c r="O24" s="8"/>
      <c r="P24" s="8"/>
      <c r="Q24" s="8">
        <f t="shared" si="9"/>
        <v>808.47535160127245</v>
      </c>
      <c r="R24" s="8">
        <f t="shared" si="9"/>
        <v>807.39888401415874</v>
      </c>
      <c r="S24" s="8">
        <f t="shared" si="9"/>
        <v>806.32241642704503</v>
      </c>
      <c r="T24" s="8">
        <f t="shared" si="9"/>
        <v>805.24594883993132</v>
      </c>
    </row>
    <row r="25" spans="1:20" x14ac:dyDescent="0.35">
      <c r="A25" s="1" t="s">
        <v>8</v>
      </c>
      <c r="B25" s="1" t="s">
        <v>9</v>
      </c>
      <c r="C25" s="1" t="s">
        <v>2</v>
      </c>
      <c r="J25" s="1" t="s">
        <v>20</v>
      </c>
      <c r="K25" s="8">
        <f>+$B$21*K14+$C$21</f>
        <v>579.90248848382009</v>
      </c>
      <c r="L25" s="8">
        <f t="shared" ref="L25:T25" si="10">+$B$21*L14+$C$21</f>
        <v>578.82946373482878</v>
      </c>
      <c r="M25" s="8">
        <f t="shared" si="10"/>
        <v>577.75643898583746</v>
      </c>
      <c r="N25" s="8">
        <f t="shared" si="10"/>
        <v>576.68341423684603</v>
      </c>
      <c r="O25" s="8"/>
      <c r="P25" s="8"/>
      <c r="Q25" s="8">
        <f t="shared" si="10"/>
        <v>575.61038948785472</v>
      </c>
      <c r="R25" s="8">
        <f t="shared" si="10"/>
        <v>574.53736473886329</v>
      </c>
      <c r="S25" s="8">
        <f t="shared" si="10"/>
        <v>573.46433998987197</v>
      </c>
      <c r="T25" s="8">
        <f t="shared" si="10"/>
        <v>572.39131524088066</v>
      </c>
    </row>
    <row r="26" spans="1:20" x14ac:dyDescent="0.35">
      <c r="A26" s="1" t="s">
        <v>10</v>
      </c>
      <c r="B26" s="6">
        <v>-1.9065092103636401</v>
      </c>
      <c r="C26" s="6">
        <v>3847.4550305914499</v>
      </c>
    </row>
    <row r="27" spans="1:20" x14ac:dyDescent="0.35">
      <c r="A27" s="1" t="s">
        <v>11</v>
      </c>
      <c r="B27" s="6">
        <v>0.310306522717883</v>
      </c>
      <c r="C27" s="6">
        <v>418.359488840621</v>
      </c>
    </row>
    <row r="28" spans="1:20" x14ac:dyDescent="0.35">
      <c r="A28" s="1" t="s">
        <v>12</v>
      </c>
      <c r="B28" s="6">
        <v>1.73808544297678</v>
      </c>
      <c r="C28" s="6">
        <v>-234.94550555146799</v>
      </c>
    </row>
    <row r="29" spans="1:20" x14ac:dyDescent="0.35">
      <c r="A29" s="1" t="s">
        <v>13</v>
      </c>
      <c r="B29" s="6">
        <v>0.116533541179525</v>
      </c>
      <c r="C29" s="6">
        <v>115.797119296201</v>
      </c>
      <c r="E29">
        <f>+C29/B29</f>
        <v>993.68060151721033</v>
      </c>
    </row>
    <row r="30" spans="1:20" x14ac:dyDescent="0.35">
      <c r="A30" s="1" t="s">
        <v>14</v>
      </c>
      <c r="B30" s="6">
        <v>1.77984616154097</v>
      </c>
      <c r="C30" s="6">
        <v>-196.42361444052801</v>
      </c>
    </row>
    <row r="31" spans="1:20" x14ac:dyDescent="0.35">
      <c r="A31" s="1" t="s">
        <v>15</v>
      </c>
      <c r="B31" s="6">
        <v>0.67871120096116699</v>
      </c>
      <c r="C31" s="6">
        <v>112.1500166431</v>
      </c>
    </row>
    <row r="32" spans="1:20" x14ac:dyDescent="0.35">
      <c r="A32" s="1" t="s">
        <v>47</v>
      </c>
      <c r="B32" s="6">
        <v>-2.71568294954406</v>
      </c>
      <c r="C32" s="6">
        <v>1773.38748081225</v>
      </c>
    </row>
    <row r="33" spans="1:3" x14ac:dyDescent="0.35">
      <c r="A33" s="1" t="s">
        <v>48</v>
      </c>
      <c r="B33" s="6">
        <v>-0.98447394651512199</v>
      </c>
      <c r="C33" s="6">
        <v>1933.2377589294899</v>
      </c>
    </row>
    <row r="34" spans="1:3" x14ac:dyDescent="0.35">
      <c r="A34" s="1" t="s">
        <v>16</v>
      </c>
      <c r="B34" s="6">
        <v>-10.020263446443201</v>
      </c>
      <c r="C34" s="6">
        <v>6621.4095684928698</v>
      </c>
    </row>
    <row r="35" spans="1:3" x14ac:dyDescent="0.35">
      <c r="A35" s="1" t="s">
        <v>17</v>
      </c>
      <c r="B35" s="6">
        <v>3.7107290380937901</v>
      </c>
      <c r="C35" s="6">
        <v>-2012.2626873291799</v>
      </c>
    </row>
    <row r="36" spans="1:3" x14ac:dyDescent="0.35">
      <c r="A36" s="1" t="s">
        <v>18</v>
      </c>
      <c r="B36" s="6">
        <v>-0.91294217097015096</v>
      </c>
      <c r="C36" s="6">
        <v>874.021251192862</v>
      </c>
    </row>
    <row r="37" spans="1:3" x14ac:dyDescent="0.35">
      <c r="A37" t="s">
        <v>19</v>
      </c>
      <c r="B37">
        <v>-5.4334693516586402E-4</v>
      </c>
      <c r="C37">
        <v>409.13247175743402</v>
      </c>
    </row>
    <row r="39" spans="1:3" x14ac:dyDescent="0.35">
      <c r="A39" s="2" t="s">
        <v>8</v>
      </c>
      <c r="B39" s="2" t="s">
        <v>24</v>
      </c>
      <c r="C39" s="2" t="s">
        <v>25</v>
      </c>
    </row>
    <row r="40" spans="1:3" x14ac:dyDescent="0.35">
      <c r="A40" s="1" t="s">
        <v>10</v>
      </c>
      <c r="B40" s="6">
        <v>-0.53631834846172799</v>
      </c>
      <c r="C40" s="6">
        <v>0.73</v>
      </c>
    </row>
    <row r="41" spans="1:3" x14ac:dyDescent="0.35">
      <c r="A41" s="1" t="s">
        <v>11</v>
      </c>
      <c r="B41" s="6">
        <v>4.7294773728237702</v>
      </c>
      <c r="C41" s="6">
        <v>0.83699999999999997</v>
      </c>
    </row>
    <row r="42" spans="1:3" x14ac:dyDescent="0.35">
      <c r="A42" s="1" t="s">
        <v>12</v>
      </c>
      <c r="B42" s="6"/>
      <c r="C42" s="6">
        <v>0.54</v>
      </c>
    </row>
    <row r="43" spans="1:3" x14ac:dyDescent="0.35">
      <c r="A43" s="1" t="s">
        <v>13</v>
      </c>
      <c r="B43" s="6">
        <v>0.74095344272861796</v>
      </c>
      <c r="C43" s="6">
        <v>0.37</v>
      </c>
    </row>
    <row r="44" spans="1:3" x14ac:dyDescent="0.35">
      <c r="A44" s="1" t="s">
        <v>14</v>
      </c>
      <c r="B44" s="6">
        <v>-2.1397804098859199</v>
      </c>
      <c r="C44" s="6">
        <v>0.1</v>
      </c>
    </row>
    <row r="45" spans="1:3" x14ac:dyDescent="0.35">
      <c r="A45" s="1" t="s">
        <v>15</v>
      </c>
      <c r="B45" s="6">
        <v>7.8720010326928902</v>
      </c>
      <c r="C45" s="6">
        <v>0.15</v>
      </c>
    </row>
    <row r="46" spans="1:3" x14ac:dyDescent="0.35">
      <c r="A46" s="1" t="s">
        <v>16</v>
      </c>
      <c r="B46" s="6">
        <v>-2.9887598600429199</v>
      </c>
      <c r="C46" s="6">
        <v>0</v>
      </c>
    </row>
    <row r="47" spans="1:3" x14ac:dyDescent="0.35">
      <c r="A47" s="1" t="s">
        <v>17</v>
      </c>
      <c r="B47" s="6">
        <v>-21.042325161757301</v>
      </c>
      <c r="C47" s="6">
        <v>0.45028045454545401</v>
      </c>
    </row>
    <row r="48" spans="1:3" x14ac:dyDescent="0.35">
      <c r="A48" s="1" t="s">
        <v>18</v>
      </c>
      <c r="B48" s="6">
        <v>0.19561227427226499</v>
      </c>
      <c r="C48" s="6">
        <v>0.103129444444444</v>
      </c>
    </row>
    <row r="49" spans="1:3" x14ac:dyDescent="0.35">
      <c r="A49" s="1" t="s">
        <v>19</v>
      </c>
      <c r="B49" s="6">
        <v>-5.0387582791250098</v>
      </c>
      <c r="C49" s="6">
        <v>0.56743750000000004</v>
      </c>
    </row>
    <row r="50" spans="1:3" x14ac:dyDescent="0.35">
      <c r="A50" s="1" t="s">
        <v>20</v>
      </c>
      <c r="B50" s="6"/>
      <c r="C50" s="6">
        <v>0.56000000000000005</v>
      </c>
    </row>
    <row r="52" spans="1:3" x14ac:dyDescent="0.35">
      <c r="A52" s="3" t="s">
        <v>27</v>
      </c>
    </row>
    <row r="53" spans="1:3" x14ac:dyDescent="0.35">
      <c r="A53" s="1"/>
      <c r="B53" s="1"/>
    </row>
    <row r="54" spans="1:3" x14ac:dyDescent="0.35">
      <c r="A54" s="1" t="s">
        <v>4</v>
      </c>
      <c r="B54" s="6">
        <f>2697-2425</f>
        <v>272</v>
      </c>
    </row>
    <row r="55" spans="1:3" x14ac:dyDescent="0.35">
      <c r="A55" s="1" t="s">
        <v>28</v>
      </c>
      <c r="B55" s="6">
        <f>2697-2404</f>
        <v>293</v>
      </c>
    </row>
    <row r="56" spans="1:3" x14ac:dyDescent="0.35">
      <c r="A56" s="1" t="s">
        <v>29</v>
      </c>
      <c r="B56" s="6">
        <f>2697-2442</f>
        <v>255</v>
      </c>
    </row>
    <row r="57" spans="1:3" x14ac:dyDescent="0.35">
      <c r="A57" s="1" t="s">
        <v>30</v>
      </c>
      <c r="B57" s="6">
        <f>2697-2446</f>
        <v>251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D97EB-B6E7-427F-96C6-52452083AAB9}">
  <dimension ref="E7:AF76"/>
  <sheetViews>
    <sheetView workbookViewId="0">
      <selection activeCell="AF65" sqref="AF65"/>
    </sheetView>
  </sheetViews>
  <sheetFormatPr defaultRowHeight="14.5" x14ac:dyDescent="0.35"/>
  <cols>
    <col min="18" max="18" width="18.08984375" customWidth="1"/>
    <col min="19" max="19" width="13.7265625" customWidth="1"/>
  </cols>
  <sheetData>
    <row r="7" spans="8:19" x14ac:dyDescent="0.35">
      <c r="I7" s="54" t="s">
        <v>42</v>
      </c>
      <c r="J7" s="54"/>
      <c r="K7" s="54"/>
      <c r="L7" s="54"/>
      <c r="M7" s="54"/>
      <c r="N7" s="54"/>
      <c r="O7" s="54"/>
      <c r="P7" s="54"/>
      <c r="Q7" s="54"/>
      <c r="R7" s="2" t="s">
        <v>45</v>
      </c>
      <c r="S7" s="2" t="s">
        <v>46</v>
      </c>
    </row>
    <row r="8" spans="8:19" x14ac:dyDescent="0.35">
      <c r="H8" s="7" t="s">
        <v>34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15" t="s">
        <v>20</v>
      </c>
      <c r="R8" s="15" t="s">
        <v>43</v>
      </c>
      <c r="S8" s="10" t="s">
        <v>44</v>
      </c>
    </row>
    <row r="9" spans="8:19" x14ac:dyDescent="0.35">
      <c r="H9" s="4">
        <v>2200</v>
      </c>
      <c r="I9" s="8">
        <v>865.87339167936057</v>
      </c>
      <c r="J9" s="8">
        <v>435.2521211739853</v>
      </c>
      <c r="K9" s="8">
        <v>580.9434184445181</v>
      </c>
      <c r="L9" s="8">
        <v>408.22366359939156</v>
      </c>
      <c r="M9" s="8">
        <v>641.52114802013045</v>
      </c>
      <c r="N9" s="8">
        <v>778.97012555809397</v>
      </c>
      <c r="O9" s="8">
        <v>526.68856386032485</v>
      </c>
      <c r="P9" s="8">
        <v>804.3006344135074</v>
      </c>
      <c r="Q9" s="8">
        <v>558.6666953815934</v>
      </c>
      <c r="R9" s="14">
        <f>(+I9-I10+J9-J10+K9-K10+L9-L10+M9-M10+N9-N10+O9-O10+P9-P10+Q9-+Q10)</f>
        <v>20.51763949281974</v>
      </c>
      <c r="S9" s="13">
        <f>+R9*1</f>
        <v>20.51763949281974</v>
      </c>
    </row>
    <row r="10" spans="8:19" x14ac:dyDescent="0.35">
      <c r="H10" s="4">
        <v>2300</v>
      </c>
      <c r="I10" s="8">
        <v>850.8136140077097</v>
      </c>
      <c r="J10" s="8">
        <v>435.72811754165247</v>
      </c>
      <c r="K10" s="8">
        <v>580.3090473213075</v>
      </c>
      <c r="L10" s="8">
        <v>406.78889603454081</v>
      </c>
      <c r="M10" s="8">
        <v>641.22606486309144</v>
      </c>
      <c r="N10" s="8">
        <v>778.8337123319659</v>
      </c>
      <c r="O10" s="8">
        <v>525.10912850226339</v>
      </c>
      <c r="P10" s="8">
        <v>804.24529652736692</v>
      </c>
      <c r="Q10" s="8">
        <v>556.86824550818767</v>
      </c>
      <c r="R10" s="14">
        <f t="shared" ref="R10:R16" si="0">(+I10-I11+J10-J11+K10-K11+L10-L11+M10-M11+N10-N11+O10-O11+P10-P11+Q10-+Q11)</f>
        <v>19.231568500726439</v>
      </c>
      <c r="S10" s="13">
        <f t="shared" ref="S10:S17" si="1">+R10*1</f>
        <v>19.231568500726439</v>
      </c>
    </row>
    <row r="11" spans="8:19" x14ac:dyDescent="0.35">
      <c r="H11" s="4">
        <v>2400</v>
      </c>
      <c r="I11" s="8">
        <v>835.75383633605884</v>
      </c>
      <c r="J11" s="8">
        <v>436.20411390931957</v>
      </c>
      <c r="K11" s="8">
        <v>579.67467619809679</v>
      </c>
      <c r="L11" s="8">
        <v>405.35412846969007</v>
      </c>
      <c r="M11" s="8">
        <v>640.93098170605231</v>
      </c>
      <c r="N11" s="8">
        <v>778.69729910583794</v>
      </c>
      <c r="O11" s="8">
        <v>523.52969314420193</v>
      </c>
      <c r="P11" s="8">
        <v>804.18995864122644</v>
      </c>
      <c r="Q11" s="8">
        <v>556.35586662687547</v>
      </c>
      <c r="R11" s="14">
        <f t="shared" si="0"/>
        <v>19.231568500726326</v>
      </c>
      <c r="S11" s="13">
        <f t="shared" si="1"/>
        <v>19.231568500726326</v>
      </c>
    </row>
    <row r="12" spans="8:19" x14ac:dyDescent="0.35">
      <c r="H12" s="4">
        <v>2500</v>
      </c>
      <c r="I12" s="8">
        <v>820.69405866440798</v>
      </c>
      <c r="J12" s="8">
        <v>436.68011027698674</v>
      </c>
      <c r="K12" s="8">
        <v>579.04030507488619</v>
      </c>
      <c r="L12" s="8">
        <v>403.91936090483932</v>
      </c>
      <c r="M12" s="8">
        <v>640.63589854901318</v>
      </c>
      <c r="N12" s="8">
        <v>778.56088587970987</v>
      </c>
      <c r="O12" s="8">
        <v>521.95025778614047</v>
      </c>
      <c r="P12" s="8">
        <v>804.13462075508608</v>
      </c>
      <c r="Q12" s="8">
        <v>555.84348774556327</v>
      </c>
      <c r="R12" s="14">
        <f t="shared" si="0"/>
        <v>19.231568500726439</v>
      </c>
      <c r="S12" s="13">
        <f t="shared" si="1"/>
        <v>19.231568500726439</v>
      </c>
    </row>
    <row r="13" spans="8:19" x14ac:dyDescent="0.35">
      <c r="H13" s="4">
        <v>2600</v>
      </c>
      <c r="I13" s="8">
        <v>805.634280992757</v>
      </c>
      <c r="J13" s="8">
        <v>437.15610664465385</v>
      </c>
      <c r="K13" s="8">
        <v>578.40593395167559</v>
      </c>
      <c r="L13" s="8">
        <v>402.48459333998852</v>
      </c>
      <c r="M13" s="8">
        <v>640.34081539197416</v>
      </c>
      <c r="N13" s="8">
        <v>778.4244726535818</v>
      </c>
      <c r="O13" s="8">
        <v>520.37082242807901</v>
      </c>
      <c r="P13" s="8">
        <v>804.0792828689456</v>
      </c>
      <c r="Q13" s="8">
        <v>555.33110886425106</v>
      </c>
      <c r="R13" s="14">
        <f t="shared" si="0"/>
        <v>19.231568500726439</v>
      </c>
      <c r="S13" s="13">
        <f t="shared" si="1"/>
        <v>19.231568500726439</v>
      </c>
    </row>
    <row r="14" spans="8:19" x14ac:dyDescent="0.35">
      <c r="H14" s="4">
        <v>2700</v>
      </c>
      <c r="I14" s="8">
        <v>790.57450332110602</v>
      </c>
      <c r="J14" s="8">
        <v>437.63210301232101</v>
      </c>
      <c r="K14" s="8">
        <v>577.77156282846499</v>
      </c>
      <c r="L14" s="8">
        <v>401.04982577513778</v>
      </c>
      <c r="M14" s="8">
        <v>640.04573223493503</v>
      </c>
      <c r="N14" s="8">
        <v>778.28805942745373</v>
      </c>
      <c r="O14" s="8">
        <v>518.79138707001755</v>
      </c>
      <c r="P14" s="8">
        <v>804.02394498280512</v>
      </c>
      <c r="Q14" s="8">
        <v>554.81872998293886</v>
      </c>
      <c r="R14" s="14">
        <f t="shared" si="0"/>
        <v>19.231568500726439</v>
      </c>
      <c r="S14" s="13">
        <f t="shared" si="1"/>
        <v>19.231568500726439</v>
      </c>
    </row>
    <row r="15" spans="8:19" x14ac:dyDescent="0.35">
      <c r="H15" s="4">
        <v>2800</v>
      </c>
      <c r="I15" s="8">
        <v>775.51472564945516</v>
      </c>
      <c r="J15" s="8">
        <v>438.10809937998812</v>
      </c>
      <c r="K15" s="8">
        <v>577.13719170525428</v>
      </c>
      <c r="L15" s="8">
        <v>399.61505821028703</v>
      </c>
      <c r="M15" s="8">
        <v>639.7506490778959</v>
      </c>
      <c r="N15" s="8">
        <v>778.15164620132566</v>
      </c>
      <c r="O15" s="8">
        <v>517.21195171195609</v>
      </c>
      <c r="P15" s="8">
        <v>803.96860709666475</v>
      </c>
      <c r="Q15" s="8">
        <v>554.30635110162666</v>
      </c>
      <c r="R15" s="14">
        <f t="shared" si="0"/>
        <v>19.231568500726098</v>
      </c>
      <c r="S15" s="13">
        <f t="shared" si="1"/>
        <v>19.231568500726098</v>
      </c>
    </row>
    <row r="16" spans="8:19" x14ac:dyDescent="0.35">
      <c r="H16" s="4">
        <v>2900</v>
      </c>
      <c r="I16" s="8">
        <v>760.4549479778043</v>
      </c>
      <c r="J16" s="8">
        <v>438.58409574765528</v>
      </c>
      <c r="K16" s="8">
        <v>576.50282058204368</v>
      </c>
      <c r="L16" s="8">
        <v>398.18029064543629</v>
      </c>
      <c r="M16" s="8">
        <v>639.45556592085688</v>
      </c>
      <c r="N16" s="8">
        <v>778.01523297519759</v>
      </c>
      <c r="O16" s="8">
        <v>515.63251635389463</v>
      </c>
      <c r="P16" s="8">
        <v>803.91326921052428</v>
      </c>
      <c r="Q16" s="8">
        <v>553.79397222031457</v>
      </c>
      <c r="R16" s="14">
        <f t="shared" si="0"/>
        <v>19.231568500726326</v>
      </c>
      <c r="S16" s="13">
        <f t="shared" si="1"/>
        <v>19.231568500726326</v>
      </c>
    </row>
    <row r="17" spans="5:29" x14ac:dyDescent="0.35">
      <c r="H17" s="4">
        <v>3000</v>
      </c>
      <c r="I17" s="8">
        <v>745.39517030615343</v>
      </c>
      <c r="J17" s="8">
        <v>439.06009211532239</v>
      </c>
      <c r="K17" s="8">
        <v>575.86844945883308</v>
      </c>
      <c r="L17" s="8">
        <v>396.74552308058554</v>
      </c>
      <c r="M17" s="8">
        <v>639.16048276381775</v>
      </c>
      <c r="N17" s="8">
        <v>777.87881974906963</v>
      </c>
      <c r="O17" s="8">
        <v>514.05308099583317</v>
      </c>
      <c r="P17" s="8">
        <v>803.8579313243838</v>
      </c>
      <c r="Q17" s="8">
        <v>553.28159333900237</v>
      </c>
      <c r="R17" s="14"/>
      <c r="S17" s="13">
        <f t="shared" si="1"/>
        <v>0</v>
      </c>
    </row>
    <row r="24" spans="5:29" x14ac:dyDescent="0.35">
      <c r="E24" s="18">
        <v>45627</v>
      </c>
      <c r="J24" s="52" t="s">
        <v>38</v>
      </c>
      <c r="K24" s="52"/>
      <c r="L24" s="52"/>
      <c r="M24" s="52"/>
      <c r="N24" s="52"/>
      <c r="O24" s="52"/>
      <c r="P24" s="52" t="s">
        <v>39</v>
      </c>
      <c r="Q24" s="52"/>
      <c r="R24" s="52"/>
      <c r="S24" s="52"/>
      <c r="T24" s="52"/>
      <c r="U24" s="52"/>
      <c r="V24" s="52" t="s">
        <v>40</v>
      </c>
      <c r="W24" s="52"/>
      <c r="X24" s="52"/>
      <c r="Y24" s="52"/>
      <c r="Z24" s="52"/>
      <c r="AA24" s="52"/>
    </row>
    <row r="25" spans="5:29" x14ac:dyDescent="0.35">
      <c r="E25" s="7" t="s">
        <v>34</v>
      </c>
      <c r="F25" s="7" t="s">
        <v>31</v>
      </c>
      <c r="G25" s="7" t="s">
        <v>32</v>
      </c>
      <c r="H25" s="7" t="s">
        <v>33</v>
      </c>
      <c r="I25" s="7" t="s">
        <v>35</v>
      </c>
      <c r="J25" s="9" t="s">
        <v>10</v>
      </c>
      <c r="K25" s="9" t="s">
        <v>11</v>
      </c>
      <c r="L25" s="1" t="s">
        <v>12</v>
      </c>
      <c r="M25" s="1" t="s">
        <v>13</v>
      </c>
      <c r="N25" s="1" t="s">
        <v>14</v>
      </c>
      <c r="O25" s="1" t="s">
        <v>15</v>
      </c>
      <c r="P25" s="7" t="s">
        <v>10</v>
      </c>
      <c r="Q25" s="7" t="s">
        <v>11</v>
      </c>
      <c r="R25" s="1" t="s">
        <v>12</v>
      </c>
      <c r="S25" s="1" t="s">
        <v>13</v>
      </c>
      <c r="T25" s="1" t="s">
        <v>14</v>
      </c>
      <c r="U25" s="1" t="s">
        <v>15</v>
      </c>
      <c r="V25" s="7" t="s">
        <v>10</v>
      </c>
      <c r="W25" s="7" t="s">
        <v>11</v>
      </c>
      <c r="X25" s="1" t="s">
        <v>12</v>
      </c>
      <c r="Y25" s="1" t="s">
        <v>13</v>
      </c>
      <c r="Z25" s="1" t="s">
        <v>14</v>
      </c>
      <c r="AA25" s="1" t="s">
        <v>15</v>
      </c>
      <c r="AB25" s="2"/>
      <c r="AC25" s="1" t="s">
        <v>41</v>
      </c>
    </row>
    <row r="26" spans="5:29" x14ac:dyDescent="0.35">
      <c r="E26" s="4">
        <v>2200</v>
      </c>
      <c r="F26" s="8">
        <f>-(inputs_dec1!$C$4+SQRT(inputs_dec1!$C$4^2-4*inputs_dec1!$B$4*inputs_dec1!$D$4+4*inputs_dec1!$B$4*E26))/(2*inputs_dec1!$B$4)</f>
        <v>41361.299391741188</v>
      </c>
      <c r="G26" s="8">
        <f>-(inputs_dec1!$C$5+SQRT(inputs_dec1!$C$5^2-4*inputs_dec1!$B$5*inputs_dec1!$D$5+4*inputs_dec1!$B$5*E26))/(2*inputs_dec1!$B$5)</f>
        <v>40781.578491970577</v>
      </c>
      <c r="H26" s="8">
        <f>-(inputs_dec1!$C$6+SQRT(inputs_dec1!$C$6^2-4*inputs_dec1!$B$6*inputs_dec1!$D$6+4*inputs_dec1!$B$6*E26))/(2*inputs_dec1!$B$6)</f>
        <v>43757.640416830458</v>
      </c>
      <c r="I26" s="8">
        <f t="shared" ref="I26:I34" si="2">+F26+G26+H26</f>
        <v>125900.51830054223</v>
      </c>
      <c r="J26" s="8">
        <f>+inputs_dec1!$B$11*(E26-inputs_dec1!$B$54)+inputs_dec1!$C$11</f>
        <v>1218.7747022655187</v>
      </c>
      <c r="K26" s="8">
        <f>+inputs_dec1!$B$12*(E26-inputs_dec1!$B$54)+inputs_dec1!$C$12</f>
        <v>1093.9843984856907</v>
      </c>
      <c r="L26" s="8">
        <f>inputs_dec1!$B$13*(E26-inputs_dec1!$B$54)+inputs_dec1!$C$13</f>
        <v>511.1162768493802</v>
      </c>
      <c r="M26" s="8">
        <f>+inputs_dec1!$B$14*(E26-inputs_dec1!$B$54)+inputs_dec1!$C$14</f>
        <v>506.71211858164395</v>
      </c>
      <c r="N26" s="8">
        <f>+inputs_dec1!$B$15*(E26-inputs_dec1!$B$54)+inputs_dec1!$C$15</f>
        <v>518.98028955393738</v>
      </c>
      <c r="O26" s="8">
        <f>+inputs_dec1!$B$16*(E26-inputs_dec1!$B$54)+inputs_dec1!$C$16</f>
        <v>311.73574640340627</v>
      </c>
      <c r="P26" s="11">
        <f>inputs_dec1!$B$26*J26+inputs_dec1!$C$26</f>
        <v>1523.8498353640352</v>
      </c>
      <c r="Q26" s="11">
        <f>inputs_dec1!$B$27*K26+inputs_dec1!$C$27</f>
        <v>757.82998344233056</v>
      </c>
      <c r="R26" s="11">
        <f>inputs_dec1!$B$28*L26+inputs_dec1!$C$28</f>
        <v>653.41825490892961</v>
      </c>
      <c r="S26" s="11">
        <f>inputs_dec1!$B$29*M26+inputs_dec1!$C$29</f>
        <v>174.84607683309935</v>
      </c>
      <c r="T26" s="11">
        <f>inputs_dec1!$B$30*N26+inputs_dec1!$C$30</f>
        <v>727.28146183746856</v>
      </c>
      <c r="U26" s="11">
        <f>inputs_dec1!$B$31*O26+inputs_dec1!$C$31</f>
        <v>323.72855946708165</v>
      </c>
      <c r="V26" s="12">
        <f>+P26*(1-inputs_dec1!$C$40)</f>
        <v>411.43945554828952</v>
      </c>
      <c r="W26" s="12">
        <f>+Q26*(1-inputs_dec1!$C$41)</f>
        <v>123.52628730109991</v>
      </c>
      <c r="X26" s="12">
        <f>+R26*(1-inputs_dec1!$C$42)</f>
        <v>300.57239725810757</v>
      </c>
      <c r="Y26" s="12">
        <f>+S26*(1-inputs_dec1!$C$43)</f>
        <v>110.15302840485259</v>
      </c>
      <c r="Z26" s="12">
        <f>+T26*(1-inputs_dec1!$C$44)</f>
        <v>654.55331565372171</v>
      </c>
      <c r="AA26" s="12">
        <f>+U26*(1-inputs_dec1!$C$45)</f>
        <v>275.16927554701942</v>
      </c>
      <c r="AB26" s="2"/>
      <c r="AC26" s="2">
        <f t="shared" ref="AC26:AC34" si="3">+SUM(V26:AA26)</f>
        <v>1875.4137597130907</v>
      </c>
    </row>
    <row r="27" spans="5:29" x14ac:dyDescent="0.35">
      <c r="E27" s="4">
        <v>2300</v>
      </c>
      <c r="F27" s="8">
        <f>-(inputs_dec1!$C$4+SQRT(inputs_dec1!$C$4^2-4*inputs_dec1!$B$4*inputs_dec1!$D$4+4*inputs_dec1!$B$4*E27))/(2*inputs_dec1!$B$4)</f>
        <v>39916.427209116307</v>
      </c>
      <c r="G27" s="8">
        <f>-(inputs_dec1!$C$5+SQRT(inputs_dec1!$C$5^2-4*inputs_dec1!$B$5*inputs_dec1!$D$5+4*inputs_dec1!$B$5*E27))/(2*inputs_dec1!$B$5)</f>
        <v>39242.832804681719</v>
      </c>
      <c r="H27" s="8">
        <f>-(inputs_dec1!$C$6+SQRT(inputs_dec1!$C$6^2-4*inputs_dec1!$B$6*inputs_dec1!$D$6+4*inputs_dec1!$B$6*E27))/(2*inputs_dec1!$B$6)</f>
        <v>42392.175697689236</v>
      </c>
      <c r="I27" s="8">
        <f t="shared" si="2"/>
        <v>121551.43571148725</v>
      </c>
      <c r="J27" s="8">
        <f>+inputs_dec1!$B$11*(E27-inputs_dec1!$B$54)+inputs_dec1!$C$11</f>
        <v>1207.1955283997345</v>
      </c>
      <c r="K27" s="8">
        <f>+inputs_dec1!$B$12*(E27-inputs_dec1!$B$54)+inputs_dec1!$C$12</f>
        <v>1119.5337006080454</v>
      </c>
      <c r="L27" s="8">
        <f>inputs_dec1!$B$13*(E27-inputs_dec1!$B$54)+inputs_dec1!$C$13</f>
        <v>497.21823653089513</v>
      </c>
      <c r="M27" s="8">
        <f>+inputs_dec1!$B$14*(E27-inputs_dec1!$B$54)+inputs_dec1!$C$14</f>
        <v>497.79525168784147</v>
      </c>
      <c r="N27" s="8">
        <f>+inputs_dec1!$B$15*(E27-inputs_dec1!$B$54)+inputs_dec1!$C$15</f>
        <v>518.17729838859373</v>
      </c>
      <c r="O27" s="8">
        <f>+inputs_dec1!$B$16*(E27-inputs_dec1!$B$54)+inputs_dec1!$C$16</f>
        <v>314.87193890598644</v>
      </c>
      <c r="P27" s="11">
        <f>inputs_dec1!$B$26*J27+inputs_dec1!$C$26</f>
        <v>1545.9256369875548</v>
      </c>
      <c r="Q27" s="11">
        <f>inputs_dec1!$B$27*K27+inputs_dec1!$C$27</f>
        <v>765.75809854178704</v>
      </c>
      <c r="R27" s="11">
        <f>inputs_dec1!$B$28*L27+inputs_dec1!$C$28</f>
        <v>629.26227334546616</v>
      </c>
      <c r="S27" s="11">
        <f>inputs_dec1!$B$29*M27+inputs_dec1!$C$29</f>
        <v>173.80696275773809</v>
      </c>
      <c r="T27" s="11">
        <f>inputs_dec1!$B$30*N27+inputs_dec1!$C$30</f>
        <v>725.8522610940804</v>
      </c>
      <c r="U27" s="11">
        <f>inputs_dec1!$B$31*O27+inputs_dec1!$C$31</f>
        <v>325.85712844695325</v>
      </c>
      <c r="V27" s="12">
        <f>+P27*(1-inputs_dec1!$C$40)</f>
        <v>417.39992198663981</v>
      </c>
      <c r="W27" s="12">
        <f>+Q27*(1-inputs_dec1!$C$41)</f>
        <v>124.81857006231131</v>
      </c>
      <c r="X27" s="12">
        <f>+R27*(1-inputs_dec1!$C$42)</f>
        <v>289.46064573891442</v>
      </c>
      <c r="Y27" s="12">
        <f>+S27*(1-inputs_dec1!$C$43)</f>
        <v>109.498386537375</v>
      </c>
      <c r="Z27" s="12">
        <f>+T27*(1-inputs_dec1!$C$44)</f>
        <v>653.26703498467236</v>
      </c>
      <c r="AA27" s="12">
        <f>+U27*(1-inputs_dec1!$C$45)</f>
        <v>276.97855917991023</v>
      </c>
      <c r="AB27" s="2"/>
      <c r="AC27" s="2">
        <f t="shared" si="3"/>
        <v>1871.4231184898233</v>
      </c>
    </row>
    <row r="28" spans="5:29" x14ac:dyDescent="0.35">
      <c r="E28" s="4">
        <v>2400</v>
      </c>
      <c r="F28" s="8">
        <f>-(inputs_dec1!$C$4+SQRT(inputs_dec1!$C$4^2-4*inputs_dec1!$B$4*inputs_dec1!$D$4+4*inputs_dec1!$B$4*E28))/(2*inputs_dec1!$B$4)</f>
        <v>38429.942150758645</v>
      </c>
      <c r="G28" s="8">
        <f>-(inputs_dec1!$C$5+SQRT(inputs_dec1!$C$5^2-4*inputs_dec1!$B$5*inputs_dec1!$D$5+4*inputs_dec1!$B$5*E28))/(2*inputs_dec1!$B$5)</f>
        <v>37625.474343218877</v>
      </c>
      <c r="H28" s="8">
        <f>-(inputs_dec1!$C$6+SQRT(inputs_dec1!$C$6^2-4*inputs_dec1!$B$6*inputs_dec1!$D$6+4*inputs_dec1!$B$6*E28))/(2*inputs_dec1!$B$6)</f>
        <v>40927.426792137267</v>
      </c>
      <c r="I28" s="8">
        <f t="shared" si="2"/>
        <v>116982.84328611479</v>
      </c>
      <c r="J28" s="8">
        <f>+inputs_dec1!$B$11*(E28-inputs_dec1!$B$54)+inputs_dec1!$C$11</f>
        <v>1195.61635453395</v>
      </c>
      <c r="K28" s="8">
        <f>+inputs_dec1!$B$12*(E28-inputs_dec1!$B$54)+inputs_dec1!$C$12</f>
        <v>1145.0830027304</v>
      </c>
      <c r="L28" s="8">
        <f>inputs_dec1!$B$13*(E28-inputs_dec1!$B$54)+inputs_dec1!$C$13</f>
        <v>483.32019621241</v>
      </c>
      <c r="M28" s="8">
        <f>+inputs_dec1!$B$14*(E28-inputs_dec1!$B$54)+inputs_dec1!$C$14</f>
        <v>488.87838479403899</v>
      </c>
      <c r="N28" s="8">
        <f>+inputs_dec1!$B$15*(E28-inputs_dec1!$B$54)+inputs_dec1!$C$15</f>
        <v>517.37430722325018</v>
      </c>
      <c r="O28" s="8">
        <f>+inputs_dec1!$B$16*(E28-inputs_dec1!$B$54)+inputs_dec1!$C$16</f>
        <v>318.00813140856667</v>
      </c>
      <c r="P28" s="11">
        <f>inputs_dec1!$B$26*J28+inputs_dec1!$C$26</f>
        <v>1568.0014386110752</v>
      </c>
      <c r="Q28" s="11">
        <f>inputs_dec1!$B$27*K28+inputs_dec1!$C$27</f>
        <v>773.68621364124351</v>
      </c>
      <c r="R28" s="11">
        <f>inputs_dec1!$B$28*L28+inputs_dec1!$C$28</f>
        <v>605.10629178200293</v>
      </c>
      <c r="S28" s="11">
        <f>inputs_dec1!$B$29*M28+inputs_dec1!$C$29</f>
        <v>172.76784868237681</v>
      </c>
      <c r="T28" s="11">
        <f>inputs_dec1!$B$30*N28+inputs_dec1!$C$30</f>
        <v>724.42306035069237</v>
      </c>
      <c r="U28" s="11">
        <f>inputs_dec1!$B$31*O28+inputs_dec1!$C$31</f>
        <v>327.98569742682491</v>
      </c>
      <c r="V28" s="12">
        <f>+P28*(1-inputs_dec1!$C$40)</f>
        <v>423.36038842499033</v>
      </c>
      <c r="W28" s="12">
        <f>+Q28*(1-inputs_dec1!$C$41)</f>
        <v>126.11085282352272</v>
      </c>
      <c r="X28" s="12">
        <f>+R28*(1-inputs_dec1!$C$42)</f>
        <v>278.34889421972133</v>
      </c>
      <c r="Y28" s="12">
        <f>+S28*(1-inputs_dec1!$C$43)</f>
        <v>108.84374466989739</v>
      </c>
      <c r="Z28" s="12">
        <f>+T28*(1-inputs_dec1!$C$44)</f>
        <v>651.98075431562313</v>
      </c>
      <c r="AA28" s="12">
        <f>+U28*(1-inputs_dec1!$C$45)</f>
        <v>278.78784281280116</v>
      </c>
      <c r="AB28" s="2"/>
      <c r="AC28" s="2">
        <f t="shared" si="3"/>
        <v>1867.4324772665559</v>
      </c>
    </row>
    <row r="29" spans="5:29" x14ac:dyDescent="0.35">
      <c r="E29" s="4">
        <v>2500</v>
      </c>
      <c r="F29" s="8">
        <f>-(inputs_dec1!$C$4+SQRT(inputs_dec1!$C$4^2-4*inputs_dec1!$B$4*inputs_dec1!$D$4+4*inputs_dec1!$B$4*E29))/(2*inputs_dec1!$B$4)</f>
        <v>36898.027277635272</v>
      </c>
      <c r="G29" s="8">
        <f>-(inputs_dec1!$C$5+SQRT(inputs_dec1!$C$5^2-4*inputs_dec1!$B$5*inputs_dec1!$D$5+4*inputs_dec1!$B$5*E29))/(2*inputs_dec1!$B$5)</f>
        <v>35916.06140968707</v>
      </c>
      <c r="H29" s="8">
        <f>-(inputs_dec1!$C$6+SQRT(inputs_dec1!$C$6^2-4*inputs_dec1!$B$6*inputs_dec1!$D$6+4*inputs_dec1!$B$6*E29))/(2*inputs_dec1!$B$6)</f>
        <v>39337.959086468523</v>
      </c>
      <c r="I29" s="8">
        <f t="shared" si="2"/>
        <v>112152.04777379087</v>
      </c>
      <c r="J29" s="8">
        <f>+inputs_dec1!$B$11*(E29-inputs_dec1!$B$54)+inputs_dec1!$C$11</f>
        <v>1184.0371806681658</v>
      </c>
      <c r="K29" s="8">
        <f>+inputs_dec1!$B$12*(E29-inputs_dec1!$B$54)+inputs_dec1!$C$12</f>
        <v>1170.6323048527545</v>
      </c>
      <c r="L29" s="8">
        <f>inputs_dec1!$B$13*(E29-inputs_dec1!$B$54)+inputs_dec1!$C$13</f>
        <v>469.42215589392492</v>
      </c>
      <c r="M29" s="8">
        <f>+inputs_dec1!$B$14*(E29-inputs_dec1!$B$54)+inputs_dec1!$C$14</f>
        <v>479.96151790023646</v>
      </c>
      <c r="N29" s="8">
        <f>+inputs_dec1!$B$15*(E29-inputs_dec1!$B$54)+inputs_dec1!$C$15</f>
        <v>516.57131605790653</v>
      </c>
      <c r="O29" s="8">
        <f>+inputs_dec1!$B$16*(E29-inputs_dec1!$B$54)+inputs_dec1!$C$16</f>
        <v>321.14432391114684</v>
      </c>
      <c r="P29" s="11">
        <f>inputs_dec1!$B$26*J29+inputs_dec1!$C$26</f>
        <v>1590.0772402345947</v>
      </c>
      <c r="Q29" s="11">
        <f>inputs_dec1!$B$27*K29+inputs_dec1!$C$27</f>
        <v>781.61432874069999</v>
      </c>
      <c r="R29" s="11">
        <f>inputs_dec1!$B$28*L29+inputs_dec1!$C$28</f>
        <v>580.9503102185397</v>
      </c>
      <c r="S29" s="11">
        <f>inputs_dec1!$B$29*M29+inputs_dec1!$C$29</f>
        <v>171.72873460701553</v>
      </c>
      <c r="T29" s="11">
        <f>inputs_dec1!$B$30*N29+inputs_dec1!$C$30</f>
        <v>722.9938596073041</v>
      </c>
      <c r="U29" s="11">
        <f>inputs_dec1!$B$31*O29+inputs_dec1!$C$31</f>
        <v>330.11426640669652</v>
      </c>
      <c r="V29" s="12">
        <f>+P29*(1-inputs_dec1!$C$40)</f>
        <v>429.32085486334057</v>
      </c>
      <c r="W29" s="12">
        <f>+Q29*(1-inputs_dec1!$C$41)</f>
        <v>127.40313558473413</v>
      </c>
      <c r="X29" s="12">
        <f>+R29*(1-inputs_dec1!$C$42)</f>
        <v>267.23714270052824</v>
      </c>
      <c r="Y29" s="12">
        <f>+S29*(1-inputs_dec1!$C$43)</f>
        <v>108.18910280241978</v>
      </c>
      <c r="Z29" s="12">
        <f>+T29*(1-inputs_dec1!$C$44)</f>
        <v>650.69447364657367</v>
      </c>
      <c r="AA29" s="12">
        <f>+U29*(1-inputs_dec1!$C$45)</f>
        <v>280.59712644569203</v>
      </c>
      <c r="AB29" s="2"/>
      <c r="AC29" s="2">
        <f t="shared" si="3"/>
        <v>1863.4418360432885</v>
      </c>
    </row>
    <row r="30" spans="5:29" x14ac:dyDescent="0.35">
      <c r="E30" s="4">
        <v>2600</v>
      </c>
      <c r="F30" s="8">
        <f>-(inputs_dec1!$C$4+SQRT(inputs_dec1!$C$4^2-4*inputs_dec1!$B$4*inputs_dec1!$D$4+4*inputs_dec1!$B$4*E30))/(2*inputs_dec1!$B$4)</f>
        <v>35316.243801011398</v>
      </c>
      <c r="G30" s="8">
        <f>-(inputs_dec1!$C$5+SQRT(inputs_dec1!$C$5^2-4*inputs_dec1!$B$5*inputs_dec1!$D$5+4*inputs_dec1!$B$5*E30))/(2*inputs_dec1!$B$5)</f>
        <v>34096.819960656649</v>
      </c>
      <c r="H30" s="8">
        <f>-(inputs_dec1!$C$6+SQRT(inputs_dec1!$C$6^2-4*inputs_dec1!$B$6*inputs_dec1!$D$6+4*inputs_dec1!$B$6*E30))/(2*inputs_dec1!$B$6)</f>
        <v>37585.172043026047</v>
      </c>
      <c r="I30" s="8">
        <f t="shared" si="2"/>
        <v>106998.23580469409</v>
      </c>
      <c r="J30" s="8">
        <f>+inputs_dec1!$B$11*(E30-inputs_dec1!$B$54)+inputs_dec1!$C$11</f>
        <v>1172.4580068023815</v>
      </c>
      <c r="K30" s="8">
        <f>+inputs_dec1!$B$12*(E30-inputs_dec1!$B$54)+inputs_dec1!$C$12</f>
        <v>1196.1816069751092</v>
      </c>
      <c r="L30" s="8">
        <f>inputs_dec1!$B$13*(E30-inputs_dec1!$B$54)+inputs_dec1!$C$13</f>
        <v>455.52411557543979</v>
      </c>
      <c r="M30" s="8">
        <f>+inputs_dec1!$B$14*(E30-inputs_dec1!$B$54)+inputs_dec1!$C$14</f>
        <v>471.04465100643404</v>
      </c>
      <c r="N30" s="8">
        <f>+inputs_dec1!$B$15*(E30-inputs_dec1!$B$54)+inputs_dec1!$C$15</f>
        <v>515.76832489256299</v>
      </c>
      <c r="O30" s="8">
        <f>+inputs_dec1!$B$16*(E30-inputs_dec1!$B$54)+inputs_dec1!$C$16</f>
        <v>324.28051641372707</v>
      </c>
      <c r="P30" s="11">
        <f>inputs_dec1!$B$26*J30+inputs_dec1!$C$26</f>
        <v>1612.1530418581142</v>
      </c>
      <c r="Q30" s="11">
        <f>inputs_dec1!$B$27*K30+inputs_dec1!$C$27</f>
        <v>789.54244384015647</v>
      </c>
      <c r="R30" s="11">
        <f>inputs_dec1!$B$28*L30+inputs_dec1!$C$28</f>
        <v>556.79432865507624</v>
      </c>
      <c r="S30" s="11">
        <f>inputs_dec1!$B$29*M30+inputs_dec1!$C$29</f>
        <v>170.68962053165427</v>
      </c>
      <c r="T30" s="11">
        <f>inputs_dec1!$B$30*N30+inputs_dec1!$C$30</f>
        <v>721.56465886391618</v>
      </c>
      <c r="U30" s="11">
        <f>inputs_dec1!$B$31*O30+inputs_dec1!$C$31</f>
        <v>332.24283538656812</v>
      </c>
      <c r="V30" s="12">
        <f>+P30*(1-inputs_dec1!$C$40)</f>
        <v>435.28132130169087</v>
      </c>
      <c r="W30" s="12">
        <f>+Q30*(1-inputs_dec1!$C$41)</f>
        <v>128.69541834594554</v>
      </c>
      <c r="X30" s="12">
        <f>+R30*(1-inputs_dec1!$C$42)</f>
        <v>256.12539118133503</v>
      </c>
      <c r="Y30" s="12">
        <f>+S30*(1-inputs_dec1!$C$43)</f>
        <v>107.53446093494219</v>
      </c>
      <c r="Z30" s="12">
        <f>+T30*(1-inputs_dec1!$C$44)</f>
        <v>649.40819297752455</v>
      </c>
      <c r="AA30" s="12">
        <f>+U30*(1-inputs_dec1!$C$45)</f>
        <v>282.40641007858289</v>
      </c>
      <c r="AB30" s="2"/>
      <c r="AC30" s="2">
        <f t="shared" si="3"/>
        <v>1859.4511948200211</v>
      </c>
    </row>
    <row r="31" spans="5:29" x14ac:dyDescent="0.35">
      <c r="E31" s="4">
        <v>2700</v>
      </c>
      <c r="F31" s="8">
        <f>-(inputs_dec1!$C$4+SQRT(inputs_dec1!$C$4^2-4*inputs_dec1!$B$4*inputs_dec1!$D$4+4*inputs_dec1!$B$4*E31))/(2*inputs_dec1!$B$4)</f>
        <v>33679.379267981385</v>
      </c>
      <c r="G31" s="8">
        <f>-(inputs_dec1!$C$5+SQRT(inputs_dec1!$C$5^2-4*inputs_dec1!$B$5*inputs_dec1!$D$5+4*inputs_dec1!$B$5*E31))/(2*inputs_dec1!$B$5)</f>
        <v>32143.393278899221</v>
      </c>
      <c r="H31" s="8">
        <f>-(inputs_dec1!$C$6+SQRT(inputs_dec1!$C$6^2-4*inputs_dec1!$B$6*inputs_dec1!$D$6+4*inputs_dec1!$B$6*E31))/(2*inputs_dec1!$B$6)</f>
        <v>35605.16464043429</v>
      </c>
      <c r="I31" s="8">
        <f t="shared" si="2"/>
        <v>101427.93718731489</v>
      </c>
      <c r="J31" s="8">
        <f>+inputs_dec1!$B$11*(E31-inputs_dec1!$B$54)+inputs_dec1!$C$11</f>
        <v>1160.8788329365973</v>
      </c>
      <c r="K31" s="8">
        <f>+inputs_dec1!$B$12*(E31-inputs_dec1!$B$54)+inputs_dec1!$C$12</f>
        <v>1221.7309090974636</v>
      </c>
      <c r="L31" s="8">
        <f>inputs_dec1!$B$13*(E31-inputs_dec1!$B$54)+inputs_dec1!$C$13</f>
        <v>441.62607525695472</v>
      </c>
      <c r="M31" s="8">
        <f>+inputs_dec1!$B$14*(E31-inputs_dec1!$B$54)+inputs_dec1!$C$14</f>
        <v>462.1277841126315</v>
      </c>
      <c r="N31" s="8">
        <f>+inputs_dec1!$B$15*(E31-inputs_dec1!$B$54)+inputs_dec1!$C$15</f>
        <v>514.96533372721933</v>
      </c>
      <c r="O31" s="8">
        <f>+inputs_dec1!$B$16*(E31-inputs_dec1!$B$54)+inputs_dec1!$C$16</f>
        <v>327.41670891630724</v>
      </c>
      <c r="P31" s="11">
        <f>inputs_dec1!$B$26*J31+inputs_dec1!$C$26</f>
        <v>1634.2288434816337</v>
      </c>
      <c r="Q31" s="11">
        <f>inputs_dec1!$B$27*K31+inputs_dec1!$C$27</f>
        <v>797.47055893961294</v>
      </c>
      <c r="R31" s="11">
        <f>inputs_dec1!$B$28*L31+inputs_dec1!$C$28</f>
        <v>532.63834709161301</v>
      </c>
      <c r="S31" s="11">
        <f>inputs_dec1!$B$29*M31+inputs_dec1!$C$29</f>
        <v>169.65050645629299</v>
      </c>
      <c r="T31" s="11">
        <f>inputs_dec1!$B$30*N31+inputs_dec1!$C$30</f>
        <v>720.13545812052791</v>
      </c>
      <c r="U31" s="11">
        <f>inputs_dec1!$B$31*O31+inputs_dec1!$C$31</f>
        <v>334.37140436643972</v>
      </c>
      <c r="V31" s="12">
        <f>+P31*(1-inputs_dec1!$C$40)</f>
        <v>441.2417877400411</v>
      </c>
      <c r="W31" s="12">
        <f>+Q31*(1-inputs_dec1!$C$41)</f>
        <v>129.98770110715694</v>
      </c>
      <c r="X31" s="12">
        <f>+R31*(1-inputs_dec1!$C$42)</f>
        <v>245.01363966214197</v>
      </c>
      <c r="Y31" s="12">
        <f>+S31*(1-inputs_dec1!$C$43)</f>
        <v>106.87981906746458</v>
      </c>
      <c r="Z31" s="12">
        <f>+T31*(1-inputs_dec1!$C$44)</f>
        <v>648.12191230847509</v>
      </c>
      <c r="AA31" s="12">
        <f>+U31*(1-inputs_dec1!$C$45)</f>
        <v>284.21569371147376</v>
      </c>
      <c r="AB31" s="2"/>
      <c r="AC31" s="2">
        <f t="shared" si="3"/>
        <v>1855.4605535967535</v>
      </c>
    </row>
    <row r="32" spans="5:29" x14ac:dyDescent="0.35">
      <c r="E32" s="4">
        <v>2800</v>
      </c>
      <c r="F32" s="8">
        <f>-(inputs_dec1!$C$4+SQRT(inputs_dec1!$C$4^2-4*inputs_dec1!$B$4*inputs_dec1!$D$4+4*inputs_dec1!$B$4*E32))/(2*inputs_dec1!$B$4)</f>
        <v>31981.244485537245</v>
      </c>
      <c r="G32" s="8">
        <f>-(inputs_dec1!$C$5+SQRT(inputs_dec1!$C$5^2-4*inputs_dec1!$B$5*inputs_dec1!$D$5+4*inputs_dec1!$B$5*E32))/(2*inputs_dec1!$B$5)</f>
        <v>30020.820276276379</v>
      </c>
      <c r="H32" s="8">
        <f>-(inputs_dec1!$C$6+SQRT(inputs_dec1!$C$6^2-4*inputs_dec1!$B$6*inputs_dec1!$D$6+4*inputs_dec1!$B$6*E32))/(2*inputs_dec1!$B$6)</f>
        <v>33276.775640717817</v>
      </c>
      <c r="I32" s="8">
        <f t="shared" si="2"/>
        <v>95278.840402531438</v>
      </c>
      <c r="J32" s="8">
        <f>+inputs_dec1!$B$11*(E32-inputs_dec1!$B$54)+inputs_dec1!$C$11</f>
        <v>1149.299659070813</v>
      </c>
      <c r="K32" s="8">
        <f>+inputs_dec1!$B$12*(E32-inputs_dec1!$B$54)+inputs_dec1!$C$12</f>
        <v>1247.2802112198183</v>
      </c>
      <c r="L32" s="8">
        <f>inputs_dec1!$B$13*(E32-inputs_dec1!$B$54)+inputs_dec1!$C$13</f>
        <v>427.72803493846965</v>
      </c>
      <c r="M32" s="8">
        <f>+inputs_dec1!$B$14*(E32-inputs_dec1!$B$54)+inputs_dec1!$C$14</f>
        <v>453.21091721882902</v>
      </c>
      <c r="N32" s="8">
        <f>+inputs_dec1!$B$15*(E32-inputs_dec1!$B$54)+inputs_dec1!$C$15</f>
        <v>514.16234256187579</v>
      </c>
      <c r="O32" s="8">
        <f>+inputs_dec1!$B$16*(E32-inputs_dec1!$B$54)+inputs_dec1!$C$16</f>
        <v>330.55290141888747</v>
      </c>
      <c r="P32" s="11">
        <f>inputs_dec1!$B$26*J32+inputs_dec1!$C$26</f>
        <v>1656.3046451051532</v>
      </c>
      <c r="Q32" s="11">
        <f>inputs_dec1!$B$27*K32+inputs_dec1!$C$27</f>
        <v>805.39867403906942</v>
      </c>
      <c r="R32" s="11">
        <f>inputs_dec1!$B$28*L32+inputs_dec1!$C$28</f>
        <v>508.48236552814973</v>
      </c>
      <c r="S32" s="11">
        <f>inputs_dec1!$B$29*M32+inputs_dec1!$C$29</f>
        <v>168.6113923809317</v>
      </c>
      <c r="T32" s="11">
        <f>inputs_dec1!$B$30*N32+inputs_dec1!$C$30</f>
        <v>718.70625737713988</v>
      </c>
      <c r="U32" s="11">
        <f>inputs_dec1!$B$31*O32+inputs_dec1!$C$31</f>
        <v>336.49997334631132</v>
      </c>
      <c r="V32" s="12">
        <f>+P32*(1-inputs_dec1!$C$40)</f>
        <v>447.2022541783914</v>
      </c>
      <c r="W32" s="12">
        <f>+Q32*(1-inputs_dec1!$C$41)</f>
        <v>131.27998386836833</v>
      </c>
      <c r="X32" s="12">
        <f>+R32*(1-inputs_dec1!$C$42)</f>
        <v>233.90188814294885</v>
      </c>
      <c r="Y32" s="12">
        <f>+S32*(1-inputs_dec1!$C$43)</f>
        <v>106.22517719998697</v>
      </c>
      <c r="Z32" s="12">
        <f>+T32*(1-inputs_dec1!$C$44)</f>
        <v>646.83563163942586</v>
      </c>
      <c r="AA32" s="12">
        <f>+U32*(1-inputs_dec1!$C$45)</f>
        <v>286.02497734436463</v>
      </c>
      <c r="AB32" s="2"/>
      <c r="AC32" s="2">
        <f t="shared" si="3"/>
        <v>1851.4699123734858</v>
      </c>
    </row>
    <row r="33" spans="5:29" x14ac:dyDescent="0.35">
      <c r="E33" s="4">
        <v>2900</v>
      </c>
      <c r="F33" s="8">
        <f>-(inputs_dec1!$C$4+SQRT(inputs_dec1!$C$4^2-4*inputs_dec1!$B$4*inputs_dec1!$D$4+4*inputs_dec1!$B$4*E33))/(2*inputs_dec1!$B$4)</f>
        <v>30214.396293011203</v>
      </c>
      <c r="G33" s="8">
        <f>-(inputs_dec1!$C$5+SQRT(inputs_dec1!$C$5^2-4*inputs_dec1!$B$5*inputs_dec1!$D$5+4*inputs_dec1!$B$5*E33))/(2*inputs_dec1!$B$5)</f>
        <v>27675.665551514972</v>
      </c>
      <c r="H33" s="8">
        <f>-(inputs_dec1!$C$6+SQRT(inputs_dec1!$C$6^2-4*inputs_dec1!$B$6*inputs_dec1!$D$6+4*inputs_dec1!$B$6*E33))/(2*inputs_dec1!$B$6)</f>
        <v>30305.210100943106</v>
      </c>
      <c r="I33" s="8">
        <f t="shared" si="2"/>
        <v>88195.271945469285</v>
      </c>
      <c r="J33" s="8">
        <f>+inputs_dec1!$B$11*(E33-inputs_dec1!$B$54)+inputs_dec1!$C$11</f>
        <v>1137.7204852050286</v>
      </c>
      <c r="K33" s="8">
        <f>+inputs_dec1!$B$12*(E33-inputs_dec1!$B$54)+inputs_dec1!$C$12</f>
        <v>1272.829513342173</v>
      </c>
      <c r="L33" s="8">
        <f>inputs_dec1!$B$13*(E33-inputs_dec1!$B$54)+inputs_dec1!$C$13</f>
        <v>413.82999461998452</v>
      </c>
      <c r="M33" s="8">
        <f>+inputs_dec1!$B$14*(E33-inputs_dec1!$B$54)+inputs_dec1!$C$14</f>
        <v>444.29405032502655</v>
      </c>
      <c r="N33" s="8">
        <f>+inputs_dec1!$B$15*(E33-inputs_dec1!$B$54)+inputs_dec1!$C$15</f>
        <v>513.35935139653213</v>
      </c>
      <c r="O33" s="8">
        <f>+inputs_dec1!$B$16*(E33-inputs_dec1!$B$54)+inputs_dec1!$C$16</f>
        <v>333.68909392146765</v>
      </c>
      <c r="P33" s="11">
        <f>inputs_dec1!$B$26*J33+inputs_dec1!$C$26</f>
        <v>1678.3804467286736</v>
      </c>
      <c r="Q33" s="11">
        <f>inputs_dec1!$B$27*K33+inputs_dec1!$C$27</f>
        <v>813.32678913852601</v>
      </c>
      <c r="R33" s="11">
        <f>inputs_dec1!$B$28*L33+inputs_dec1!$C$28</f>
        <v>484.32638396468627</v>
      </c>
      <c r="S33" s="11">
        <f>inputs_dec1!$B$29*M33+inputs_dec1!$C$29</f>
        <v>167.57227830557042</v>
      </c>
      <c r="T33" s="11">
        <f>inputs_dec1!$B$30*N33+inputs_dec1!$C$30</f>
        <v>717.27705663375173</v>
      </c>
      <c r="U33" s="11">
        <f>inputs_dec1!$B$31*O33+inputs_dec1!$C$31</f>
        <v>338.62854232618292</v>
      </c>
      <c r="V33" s="12">
        <f>+P33*(1-inputs_dec1!$C$40)</f>
        <v>453.16272061674192</v>
      </c>
      <c r="W33" s="12">
        <f>+Q33*(1-inputs_dec1!$C$41)</f>
        <v>132.57226662957976</v>
      </c>
      <c r="X33" s="12">
        <f>+R33*(1-inputs_dec1!$C$42)</f>
        <v>222.79013662375567</v>
      </c>
      <c r="Y33" s="12">
        <f>+S33*(1-inputs_dec1!$C$43)</f>
        <v>105.57053533250937</v>
      </c>
      <c r="Z33" s="12">
        <f>+T33*(1-inputs_dec1!$C$44)</f>
        <v>645.54935097037662</v>
      </c>
      <c r="AA33" s="12">
        <f>+U33*(1-inputs_dec1!$C$45)</f>
        <v>287.8342609772555</v>
      </c>
      <c r="AB33" s="2"/>
      <c r="AC33" s="2">
        <f t="shared" si="3"/>
        <v>1847.4792711502189</v>
      </c>
    </row>
    <row r="34" spans="5:29" x14ac:dyDescent="0.35">
      <c r="E34" s="4">
        <v>3000</v>
      </c>
      <c r="F34" s="8">
        <f>-(inputs_dec1!$C$4+SQRT(inputs_dec1!$C$4^2-4*inputs_dec1!$B$4*inputs_dec1!$D$4+4*inputs_dec1!$B$4*E34))/(2*inputs_dec1!$B$4)</f>
        <v>28369.750132878697</v>
      </c>
      <c r="G34" s="8">
        <f>-(inputs_dec1!$C$5+SQRT(inputs_dec1!$C$5^2-4*inputs_dec1!$B$5*inputs_dec1!$D$5+4*inputs_dec1!$B$5*E34))/(2*inputs_dec1!$B$5)</f>
        <v>25018.534502584087</v>
      </c>
      <c r="H34" s="8">
        <f>-(inputs_dec1!$C$6+SQRT(inputs_dec1!$C$6^2-4*inputs_dec1!$B$6*inputs_dec1!$D$6+4*inputs_dec1!$B$6*E34))/(2*inputs_dec1!$B$6)</f>
        <v>25150.241736656852</v>
      </c>
      <c r="I34" s="8">
        <f t="shared" si="2"/>
        <v>78538.526372119639</v>
      </c>
      <c r="J34" s="8">
        <f>+inputs_dec1!$B$11*(E34-inputs_dec1!$B$54)+inputs_dec1!$C$11</f>
        <v>1126.1413113392443</v>
      </c>
      <c r="K34" s="8">
        <f>+inputs_dec1!$B$12*(E34-inputs_dec1!$B$54)+inputs_dec1!$C$12</f>
        <v>1298.3788154645276</v>
      </c>
      <c r="L34" s="8">
        <f>inputs_dec1!$B$13*(E34-inputs_dec1!$B$54)+inputs_dec1!$C$13</f>
        <v>399.93195430149945</v>
      </c>
      <c r="M34" s="8">
        <f>+inputs_dec1!$B$14*(E34-inputs_dec1!$B$54)+inputs_dec1!$C$14</f>
        <v>435.37718343122401</v>
      </c>
      <c r="N34" s="8">
        <f>+inputs_dec1!$B$15*(E34-inputs_dec1!$B$54)+inputs_dec1!$C$15</f>
        <v>512.55636023118859</v>
      </c>
      <c r="O34" s="8">
        <f>+inputs_dec1!$B$16*(E34-inputs_dec1!$B$54)+inputs_dec1!$C$16</f>
        <v>336.82528642404787</v>
      </c>
      <c r="P34" s="11">
        <f>inputs_dec1!$B$26*J34+inputs_dec1!$C$26</f>
        <v>1700.4562483521931</v>
      </c>
      <c r="Q34" s="11">
        <f>inputs_dec1!$B$27*K34+inputs_dec1!$C$27</f>
        <v>821.25490423798249</v>
      </c>
      <c r="R34" s="11">
        <f>inputs_dec1!$B$28*L34+inputs_dec1!$C$28</f>
        <v>460.17040240122304</v>
      </c>
      <c r="S34" s="11">
        <f>inputs_dec1!$B$29*M34+inputs_dec1!$C$29</f>
        <v>166.53316423020914</v>
      </c>
      <c r="T34" s="11">
        <f>inputs_dec1!$B$30*N34+inputs_dec1!$C$30</f>
        <v>715.84785589036369</v>
      </c>
      <c r="U34" s="11">
        <f>inputs_dec1!$B$31*O34+inputs_dec1!$C$31</f>
        <v>340.75711130605458</v>
      </c>
      <c r="V34" s="12">
        <f>+P34*(1-inputs_dec1!$C$40)</f>
        <v>459.12318705509216</v>
      </c>
      <c r="W34" s="12">
        <f>+Q34*(1-inputs_dec1!$C$41)</f>
        <v>133.86454939079118</v>
      </c>
      <c r="X34" s="12">
        <f>+R34*(1-inputs_dec1!$C$42)</f>
        <v>211.67838510456258</v>
      </c>
      <c r="Y34" s="12">
        <f>+S34*(1-inputs_dec1!$C$43)</f>
        <v>104.91589346503176</v>
      </c>
      <c r="Z34" s="12">
        <f>+T34*(1-inputs_dec1!$C$44)</f>
        <v>644.26307030132739</v>
      </c>
      <c r="AA34" s="12">
        <f>+U34*(1-inputs_dec1!$C$45)</f>
        <v>289.64354461014636</v>
      </c>
      <c r="AB34" s="2"/>
      <c r="AC34" s="2">
        <f t="shared" si="3"/>
        <v>1843.4886299269515</v>
      </c>
    </row>
    <row r="35" spans="5:29" x14ac:dyDescent="0.35"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21"/>
      <c r="R35" s="21"/>
      <c r="S35" s="21"/>
      <c r="T35" s="21"/>
      <c r="U35" s="21"/>
      <c r="V35" s="22"/>
      <c r="W35" s="22"/>
      <c r="X35" s="22"/>
      <c r="Y35" s="22"/>
      <c r="Z35" s="22"/>
      <c r="AA35" s="22"/>
    </row>
    <row r="37" spans="5:29" x14ac:dyDescent="0.35">
      <c r="E37" s="18">
        <v>45641</v>
      </c>
      <c r="J37" s="52" t="s">
        <v>38</v>
      </c>
      <c r="K37" s="52"/>
      <c r="L37" s="52"/>
      <c r="M37" s="52"/>
      <c r="N37" s="52"/>
      <c r="O37" s="52"/>
      <c r="P37" s="52" t="s">
        <v>39</v>
      </c>
      <c r="Q37" s="52"/>
      <c r="R37" s="52"/>
      <c r="S37" s="52"/>
      <c r="T37" s="52"/>
      <c r="U37" s="52"/>
      <c r="V37" s="52" t="s">
        <v>40</v>
      </c>
      <c r="W37" s="52"/>
      <c r="X37" s="52"/>
      <c r="Y37" s="52"/>
      <c r="Z37" s="52"/>
      <c r="AA37" s="52"/>
    </row>
    <row r="38" spans="5:29" x14ac:dyDescent="0.35">
      <c r="E38" s="7" t="s">
        <v>34</v>
      </c>
      <c r="F38" s="7" t="s">
        <v>31</v>
      </c>
      <c r="G38" s="7" t="s">
        <v>32</v>
      </c>
      <c r="H38" s="7" t="s">
        <v>33</v>
      </c>
      <c r="I38" s="7" t="s">
        <v>35</v>
      </c>
      <c r="J38" s="9" t="s">
        <v>10</v>
      </c>
      <c r="K38" s="9" t="s">
        <v>11</v>
      </c>
      <c r="L38" s="1" t="s">
        <v>12</v>
      </c>
      <c r="M38" s="1" t="s">
        <v>13</v>
      </c>
      <c r="N38" s="1" t="s">
        <v>14</v>
      </c>
      <c r="O38" s="1" t="s">
        <v>15</v>
      </c>
      <c r="P38" s="7" t="s">
        <v>10</v>
      </c>
      <c r="Q38" s="7" t="s">
        <v>11</v>
      </c>
      <c r="R38" s="1" t="s">
        <v>12</v>
      </c>
      <c r="S38" s="1" t="s">
        <v>13</v>
      </c>
      <c r="T38" s="1" t="s">
        <v>14</v>
      </c>
      <c r="U38" s="1" t="s">
        <v>15</v>
      </c>
      <c r="V38" s="7" t="s">
        <v>10</v>
      </c>
      <c r="W38" s="7" t="s">
        <v>11</v>
      </c>
      <c r="X38" s="1" t="s">
        <v>12</v>
      </c>
      <c r="Y38" s="1" t="s">
        <v>13</v>
      </c>
      <c r="Z38" s="1" t="s">
        <v>14</v>
      </c>
      <c r="AA38" s="1" t="s">
        <v>15</v>
      </c>
      <c r="AC38" s="1" t="s">
        <v>41</v>
      </c>
    </row>
    <row r="39" spans="5:29" x14ac:dyDescent="0.35">
      <c r="E39" s="4">
        <v>2200</v>
      </c>
      <c r="F39" s="8">
        <f>-(inputs_dec15!$C$4+SQRT(inputs_dec15!$C$4^2-4*inputs_dec15!$B$4*inputs_dec15!$D$4+4*inputs_dec15!$B$4*E39))/(2*inputs_dec15!$B$4)</f>
        <v>41361.299391741188</v>
      </c>
      <c r="G39" s="8">
        <f>-(inputs_dec15!$C$5+SQRT(inputs_dec15!$C$5^2-4*inputs_dec15!$B$5*inputs_dec15!$D$5+4*inputs_dec15!$B$5*E39))/(2*inputs_dec15!$B$5)</f>
        <v>40781.578491970577</v>
      </c>
      <c r="H39" s="8">
        <f>-(inputs_dec15!$C$6+SQRT(inputs_dec15!$C$6^2-4*inputs_dec15!$B$6*inputs_dec15!$D$6+4*inputs_dec15!$B$6*E39))/(2*inputs_dec15!$B$6)</f>
        <v>43757.640416830458</v>
      </c>
      <c r="I39" s="8">
        <f t="shared" ref="I39:I47" si="4">+F39+G39+H39</f>
        <v>125900.51830054223</v>
      </c>
      <c r="J39" s="8">
        <f>+inputs_dec15!$B$11*(E39-inputs_dec15!$B$55)+inputs_dec15!$C$11</f>
        <v>918.80008298000371</v>
      </c>
      <c r="K39" s="8">
        <f>+inputs_dec15!$B$12*(E39-inputs_dec15!$B$55)+inputs_dec15!$C$12</f>
        <v>1093.9843984856907</v>
      </c>
      <c r="L39" s="8">
        <f>inputs_dec15!$B$13*(E39-inputs_dec15!$B$55)+inputs_dec15!$C$13</f>
        <v>564.64076916610099</v>
      </c>
      <c r="M39" s="8">
        <f>+inputs_dec15!$B$14*(E39-inputs_dec15!$B$55)+inputs_dec15!$C$14</f>
        <v>617.56497912427108</v>
      </c>
      <c r="N39" s="8">
        <f>+inputs_dec15!$B$15*(E39-inputs_dec15!$B$55)+inputs_dec15!$C$15</f>
        <v>534.22994772212951</v>
      </c>
      <c r="O39" s="8">
        <f>+inputs_dec15!$B$16*(E39-inputs_dec15!$B$55)+inputs_dec15!$C$16</f>
        <v>300.62448727629658</v>
      </c>
      <c r="P39" s="11">
        <f>inputs_dec15!$B$26*J39+inputs_dec15!$C$26</f>
        <v>1901.0884311728</v>
      </c>
      <c r="Q39" s="11">
        <f>inputs_dec15!$B$27*K39+inputs_dec15!$C$27</f>
        <v>752.4508266208793</v>
      </c>
      <c r="R39" s="11">
        <f>inputs_dec15!$B$28*L39+inputs_dec15!$C$28</f>
        <v>717.55711799648634</v>
      </c>
      <c r="S39" s="11">
        <f>inputs_dec15!$B$29*M39+inputs_dec15!$C$29</f>
        <v>150.8532357917988</v>
      </c>
      <c r="T39" s="11">
        <f>inputs_dec15!$B$30*N39+inputs_dec15!$C$30</f>
        <v>821.4427721776467</v>
      </c>
      <c r="U39" s="11">
        <f>inputs_dec15!$B$31*O39+inputs_dec15!$C$31</f>
        <v>301.85709878028626</v>
      </c>
      <c r="V39" s="12">
        <f>+P39*(1-inputs_dec15!$C$40)</f>
        <v>513.29387641665608</v>
      </c>
      <c r="W39" s="12">
        <f>+Q39*(1-inputs_dec15!$C$41)</f>
        <v>122.64948473920334</v>
      </c>
      <c r="X39" s="12">
        <f>+R39*(1-inputs_dec15!$C$42)</f>
        <v>330.07627427838366</v>
      </c>
      <c r="Y39" s="12">
        <f>+S39*(1-inputs_dec15!$C$43)</f>
        <v>95.03753854883324</v>
      </c>
      <c r="Z39" s="12">
        <f>+T39*(1-inputs_dec15!$C$44)</f>
        <v>739.29849495988208</v>
      </c>
      <c r="AA39" s="12">
        <f>+U39*(1-inputs_dec15!$C$45)</f>
        <v>256.57853396324333</v>
      </c>
      <c r="AC39" s="16">
        <f t="shared" ref="AC39:AC47" si="5">+SUM(V39:AA39)</f>
        <v>2056.9342029062018</v>
      </c>
    </row>
    <row r="40" spans="5:29" x14ac:dyDescent="0.35">
      <c r="E40" s="4">
        <v>2300</v>
      </c>
      <c r="F40" s="8">
        <f>-(inputs_dec15!$C$4+SQRT(inputs_dec15!$C$4^2-4*inputs_dec15!$B$4*inputs_dec15!$D$4+4*inputs_dec15!$B$4*E40))/(2*inputs_dec15!$B$4)</f>
        <v>39916.427209116307</v>
      </c>
      <c r="G40" s="8">
        <f>-(inputs_dec15!$C$5+SQRT(inputs_dec15!$C$5^2-4*inputs_dec15!$B$5*inputs_dec15!$D$5+4*inputs_dec15!$B$5*E40))/(2*inputs_dec15!$B$5)</f>
        <v>39242.832804681719</v>
      </c>
      <c r="H40" s="8">
        <f>-(inputs_dec15!$C$6+SQRT(inputs_dec15!$C$6^2-4*inputs_dec15!$B$6*inputs_dec15!$D$6+4*inputs_dec15!$B$6*E40))/(2*inputs_dec15!$B$6)</f>
        <v>42392.175697689236</v>
      </c>
      <c r="I40" s="8">
        <f t="shared" si="4"/>
        <v>121551.43571148725</v>
      </c>
      <c r="J40" s="8">
        <f>+inputs_dec15!$B$11*(E40-inputs_dec15!$B$55)+inputs_dec15!$C$11</f>
        <v>977.01831693742929</v>
      </c>
      <c r="K40" s="8">
        <f>+inputs_dec15!$B$12*(E40-inputs_dec15!$B$55)+inputs_dec15!$C$12</f>
        <v>1119.5337006080454</v>
      </c>
      <c r="L40" s="8">
        <f>inputs_dec15!$B$13*(E40-inputs_dec15!$B$55)+inputs_dec15!$C$13</f>
        <v>552.18862400535522</v>
      </c>
      <c r="M40" s="8">
        <f>+inputs_dec15!$B$14*(E40-inputs_dec15!$B$55)+inputs_dec15!$C$14</f>
        <v>585.28449829829447</v>
      </c>
      <c r="N40" s="8">
        <f>+inputs_dec15!$B$15*(E40-inputs_dec15!$B$55)+inputs_dec15!$C$15</f>
        <v>530.61531261710741</v>
      </c>
      <c r="O40" s="8">
        <f>+inputs_dec15!$B$16*(E40-inputs_dec15!$B$55)+inputs_dec15!$C$16</f>
        <v>303.87282818856607</v>
      </c>
      <c r="P40" s="11">
        <f>inputs_dec15!$B$26*J40+inputs_dec15!$C$26</f>
        <v>1759.1672564627411</v>
      </c>
      <c r="Q40" s="11">
        <f>inputs_dec15!$B$27*K40+inputs_dec15!$C$27</f>
        <v>770.62549744110436</v>
      </c>
      <c r="R40" s="11">
        <f>inputs_dec15!$B$28*L40+inputs_dec15!$C$28</f>
        <v>698.50434431847623</v>
      </c>
      <c r="S40" s="11">
        <f>inputs_dec15!$B$29*M40+inputs_dec15!$C$29</f>
        <v>146.31808075359868</v>
      </c>
      <c r="T40" s="11">
        <f>inputs_dec15!$B$30*N40+inputs_dec15!$C$30</f>
        <v>820.81894368809492</v>
      </c>
      <c r="U40" s="11">
        <f>inputs_dec15!$B$31*O40+inputs_dec15!$C$31</f>
        <v>303.18473469184403</v>
      </c>
      <c r="V40" s="12">
        <f>+P40*(1-inputs_dec15!$C$40)</f>
        <v>474.97515924494013</v>
      </c>
      <c r="W40" s="12">
        <f>+Q40*(1-inputs_dec15!$C$41)</f>
        <v>125.61195608290004</v>
      </c>
      <c r="X40" s="12">
        <f>+R40*(1-inputs_dec15!$C$42)</f>
        <v>321.31199838649906</v>
      </c>
      <c r="Y40" s="12">
        <f>+S40*(1-inputs_dec15!$C$43)</f>
        <v>92.18039087476717</v>
      </c>
      <c r="Z40" s="12">
        <f>+T40*(1-inputs_dec15!$C$44)</f>
        <v>738.73704931928546</v>
      </c>
      <c r="AA40" s="12">
        <f>+U40*(1-inputs_dec15!$C$45)</f>
        <v>257.70702448806742</v>
      </c>
      <c r="AC40" s="2">
        <f t="shared" si="5"/>
        <v>2010.5235783964592</v>
      </c>
    </row>
    <row r="41" spans="5:29" x14ac:dyDescent="0.35">
      <c r="E41" s="4">
        <v>2400</v>
      </c>
      <c r="F41" s="8">
        <f>-(inputs_dec15!$C$4+SQRT(inputs_dec15!$C$4^2-4*inputs_dec15!$B$4*inputs_dec15!$D$4+4*inputs_dec15!$B$4*E41))/(2*inputs_dec15!$B$4)</f>
        <v>38429.942150758645</v>
      </c>
      <c r="G41" s="8">
        <f>-(inputs_dec15!$C$5+SQRT(inputs_dec15!$C$5^2-4*inputs_dec15!$B$5*inputs_dec15!$D$5+4*inputs_dec15!$B$5*E41))/(2*inputs_dec15!$B$5)</f>
        <v>37625.474343218877</v>
      </c>
      <c r="H41" s="8">
        <f>-(inputs_dec15!$C$6+SQRT(inputs_dec15!$C$6^2-4*inputs_dec15!$B$6*inputs_dec15!$D$6+4*inputs_dec15!$B$6*E41))/(2*inputs_dec15!$B$6)</f>
        <v>40927.426792137267</v>
      </c>
      <c r="I41" s="8">
        <f t="shared" si="4"/>
        <v>116982.84328611479</v>
      </c>
      <c r="J41" s="8">
        <f>+inputs_dec15!$B$11*(E41-inputs_dec15!$B$55)+inputs_dec15!$C$11</f>
        <v>1035.2365508948546</v>
      </c>
      <c r="K41" s="8">
        <f>+inputs_dec15!$B$12*(E41-inputs_dec15!$B$55)+inputs_dec15!$C$12</f>
        <v>1145.0830027304</v>
      </c>
      <c r="L41" s="8">
        <f>inputs_dec15!$B$13*(E41-inputs_dec15!$B$55)+inputs_dec15!$C$13</f>
        <v>539.73647884460934</v>
      </c>
      <c r="M41" s="8">
        <f>+inputs_dec15!$B$14*(E41-inputs_dec15!$B$55)+inputs_dec15!$C$14</f>
        <v>553.00401747231786</v>
      </c>
      <c r="N41" s="8">
        <f>+inputs_dec15!$B$15*(E41-inputs_dec15!$B$55)+inputs_dec15!$C$15</f>
        <v>527.0006775120853</v>
      </c>
      <c r="O41" s="8">
        <f>+inputs_dec15!$B$16*(E41-inputs_dec15!$B$55)+inputs_dec15!$C$16</f>
        <v>307.12116910083557</v>
      </c>
      <c r="P41" s="11">
        <f>inputs_dec15!$B$26*J41+inputs_dec15!$C$26</f>
        <v>1617.2460817526826</v>
      </c>
      <c r="Q41" s="11">
        <f>inputs_dec15!$B$27*K41+inputs_dec15!$C$27</f>
        <v>788.8001682613293</v>
      </c>
      <c r="R41" s="11">
        <f>inputs_dec15!$B$28*L41+inputs_dec15!$C$28</f>
        <v>679.451570640466</v>
      </c>
      <c r="S41" s="11">
        <f>inputs_dec15!$B$29*M41+inputs_dec15!$C$29</f>
        <v>141.78292571539859</v>
      </c>
      <c r="T41" s="11">
        <f>inputs_dec15!$B$30*N41+inputs_dec15!$C$30</f>
        <v>820.19511519854314</v>
      </c>
      <c r="U41" s="11">
        <f>inputs_dec15!$B$31*O41+inputs_dec15!$C$31</f>
        <v>304.51237060340173</v>
      </c>
      <c r="V41" s="12">
        <f>+P41*(1-inputs_dec15!$C$40)</f>
        <v>436.65644207322435</v>
      </c>
      <c r="W41" s="12">
        <f>+Q41*(1-inputs_dec15!$C$41)</f>
        <v>128.57442742659671</v>
      </c>
      <c r="X41" s="12">
        <f>+R41*(1-inputs_dec15!$C$42)</f>
        <v>312.54772249461433</v>
      </c>
      <c r="Y41" s="12">
        <f>+S41*(1-inputs_dec15!$C$43)</f>
        <v>89.323243200701114</v>
      </c>
      <c r="Z41" s="12">
        <f>+T41*(1-inputs_dec15!$C$44)</f>
        <v>738.17560367868884</v>
      </c>
      <c r="AA41" s="12">
        <f>+U41*(1-inputs_dec15!$C$45)</f>
        <v>258.83551501289145</v>
      </c>
      <c r="AC41" s="2">
        <f t="shared" si="5"/>
        <v>1964.1129538867167</v>
      </c>
    </row>
    <row r="42" spans="5:29" x14ac:dyDescent="0.35">
      <c r="E42" s="4">
        <v>2500</v>
      </c>
      <c r="F42" s="8">
        <f>-(inputs_dec15!$C$4+SQRT(inputs_dec15!$C$4^2-4*inputs_dec15!$B$4*inputs_dec15!$D$4+4*inputs_dec15!$B$4*E42))/(2*inputs_dec15!$B$4)</f>
        <v>36898.027277635272</v>
      </c>
      <c r="G42" s="8">
        <f>-(inputs_dec15!$C$5+SQRT(inputs_dec15!$C$5^2-4*inputs_dec15!$B$5*inputs_dec15!$D$5+4*inputs_dec15!$B$5*E42))/(2*inputs_dec15!$B$5)</f>
        <v>35916.06140968707</v>
      </c>
      <c r="H42" s="8">
        <f>-(inputs_dec15!$C$6+SQRT(inputs_dec15!$C$6^2-4*inputs_dec15!$B$6*inputs_dec15!$D$6+4*inputs_dec15!$B$6*E42))/(2*inputs_dec15!$B$6)</f>
        <v>39337.959086468523</v>
      </c>
      <c r="I42" s="8">
        <f t="shared" si="4"/>
        <v>112152.04777379087</v>
      </c>
      <c r="J42" s="8">
        <f>+inputs_dec15!$B$11*(E42-inputs_dec15!$B$55)+inputs_dec15!$C$11</f>
        <v>1093.4547848522802</v>
      </c>
      <c r="K42" s="8">
        <f>+inputs_dec15!$B$12*(E42-inputs_dec15!$B$55)+inputs_dec15!$C$12</f>
        <v>1170.6323048527545</v>
      </c>
      <c r="L42" s="8">
        <f>inputs_dec15!$B$13*(E42-inputs_dec15!$B$55)+inputs_dec15!$C$13</f>
        <v>527.28433368386368</v>
      </c>
      <c r="M42" s="8">
        <f>+inputs_dec15!$B$14*(E42-inputs_dec15!$B$55)+inputs_dec15!$C$14</f>
        <v>520.72353664634136</v>
      </c>
      <c r="N42" s="8">
        <f>+inputs_dec15!$B$15*(E42-inputs_dec15!$B$55)+inputs_dec15!$C$15</f>
        <v>523.38604240706331</v>
      </c>
      <c r="O42" s="8">
        <f>+inputs_dec15!$B$16*(E42-inputs_dec15!$B$55)+inputs_dec15!$C$16</f>
        <v>310.36951001310501</v>
      </c>
      <c r="P42" s="11">
        <f>inputs_dec15!$B$26*J42+inputs_dec15!$C$26</f>
        <v>1475.3249070426241</v>
      </c>
      <c r="Q42" s="11">
        <f>inputs_dec15!$B$27*K42+inputs_dec15!$C$27</f>
        <v>806.97483908155414</v>
      </c>
      <c r="R42" s="11">
        <f>inputs_dec15!$B$28*L42+inputs_dec15!$C$28</f>
        <v>660.398796962456</v>
      </c>
      <c r="S42" s="11">
        <f>inputs_dec15!$B$29*M42+inputs_dec15!$C$29</f>
        <v>137.2477706771985</v>
      </c>
      <c r="T42" s="11">
        <f>inputs_dec15!$B$30*N42+inputs_dec15!$C$30</f>
        <v>819.57128670899135</v>
      </c>
      <c r="U42" s="11">
        <f>inputs_dec15!$B$31*O42+inputs_dec15!$C$31</f>
        <v>305.8400065149595</v>
      </c>
      <c r="V42" s="12">
        <f>+P42*(1-inputs_dec15!$C$40)</f>
        <v>398.33772490150852</v>
      </c>
      <c r="W42" s="12">
        <f>+Q42*(1-inputs_dec15!$C$41)</f>
        <v>131.53689877029336</v>
      </c>
      <c r="X42" s="12">
        <f>+R42*(1-inputs_dec15!$C$42)</f>
        <v>303.78344660272973</v>
      </c>
      <c r="Y42" s="12">
        <f>+S42*(1-inputs_dec15!$C$43)</f>
        <v>86.466095526635058</v>
      </c>
      <c r="Z42" s="12">
        <f>+T42*(1-inputs_dec15!$C$44)</f>
        <v>737.61415803809223</v>
      </c>
      <c r="AA42" s="12">
        <f>+U42*(1-inputs_dec15!$C$45)</f>
        <v>259.96400553771559</v>
      </c>
      <c r="AC42" s="2">
        <f t="shared" si="5"/>
        <v>1917.7023293769746</v>
      </c>
    </row>
    <row r="43" spans="5:29" x14ac:dyDescent="0.35">
      <c r="E43" s="4">
        <v>2600</v>
      </c>
      <c r="F43" s="8">
        <f>-(inputs_dec15!$C$4+SQRT(inputs_dec15!$C$4^2-4*inputs_dec15!$B$4*inputs_dec15!$D$4+4*inputs_dec15!$B$4*E43))/(2*inputs_dec15!$B$4)</f>
        <v>35316.243801011398</v>
      </c>
      <c r="G43" s="8">
        <f>-(inputs_dec15!$C$5+SQRT(inputs_dec15!$C$5^2-4*inputs_dec15!$B$5*inputs_dec15!$D$5+4*inputs_dec15!$B$5*E43))/(2*inputs_dec15!$B$5)</f>
        <v>34096.819960656649</v>
      </c>
      <c r="H43" s="8">
        <f>-(inputs_dec15!$C$6+SQRT(inputs_dec15!$C$6^2-4*inputs_dec15!$B$6*inputs_dec15!$D$6+4*inputs_dec15!$B$6*E43))/(2*inputs_dec15!$B$6)</f>
        <v>37585.172043026047</v>
      </c>
      <c r="I43" s="8">
        <f t="shared" si="4"/>
        <v>106998.23580469409</v>
      </c>
      <c r="J43" s="8">
        <f>+inputs_dec15!$B$11*(E43-inputs_dec15!$B$55)+inputs_dec15!$C$11</f>
        <v>1151.6730188097058</v>
      </c>
      <c r="K43" s="8">
        <f>+inputs_dec15!$B$12*(E43-inputs_dec15!$B$55)+inputs_dec15!$C$12</f>
        <v>1196.1816069751092</v>
      </c>
      <c r="L43" s="8">
        <f>inputs_dec15!$B$13*(E43-inputs_dec15!$B$55)+inputs_dec15!$C$13</f>
        <v>514.83218852311779</v>
      </c>
      <c r="M43" s="8">
        <f>+inputs_dec15!$B$14*(E43-inputs_dec15!$B$55)+inputs_dec15!$C$14</f>
        <v>488.44305582036475</v>
      </c>
      <c r="N43" s="8">
        <f>+inputs_dec15!$B$15*(E43-inputs_dec15!$B$55)+inputs_dec15!$C$15</f>
        <v>519.77140730204121</v>
      </c>
      <c r="O43" s="8">
        <f>+inputs_dec15!$B$16*(E43-inputs_dec15!$B$55)+inputs_dec15!$C$16</f>
        <v>313.61785092537451</v>
      </c>
      <c r="P43" s="11">
        <f>inputs_dec15!$B$26*J43+inputs_dec15!$C$26</f>
        <v>1333.4037323325651</v>
      </c>
      <c r="Q43" s="11">
        <f>inputs_dec15!$B$27*K43+inputs_dec15!$C$27</f>
        <v>825.1495099017792</v>
      </c>
      <c r="R43" s="11">
        <f>inputs_dec15!$B$28*L43+inputs_dec15!$C$28</f>
        <v>641.34602328444578</v>
      </c>
      <c r="S43" s="11">
        <f>inputs_dec15!$B$29*M43+inputs_dec15!$C$29</f>
        <v>132.71261563899839</v>
      </c>
      <c r="T43" s="11">
        <f>inputs_dec15!$B$30*N43+inputs_dec15!$C$30</f>
        <v>818.94745821943957</v>
      </c>
      <c r="U43" s="11">
        <f>inputs_dec15!$B$31*O43+inputs_dec15!$C$31</f>
        <v>307.1676424265172</v>
      </c>
      <c r="V43" s="12">
        <f>+P43*(1-inputs_dec15!$C$40)</f>
        <v>360.01900772979263</v>
      </c>
      <c r="W43" s="12">
        <f>+Q43*(1-inputs_dec15!$C$41)</f>
        <v>134.49937011399004</v>
      </c>
      <c r="X43" s="12">
        <f>+R43*(1-inputs_dec15!$C$42)</f>
        <v>295.01917071084506</v>
      </c>
      <c r="Y43" s="12">
        <f>+S43*(1-inputs_dec15!$C$43)</f>
        <v>83.608947852568988</v>
      </c>
      <c r="Z43" s="12">
        <f>+T43*(1-inputs_dec15!$C$44)</f>
        <v>737.05271239749561</v>
      </c>
      <c r="AA43" s="12">
        <f>+U43*(1-inputs_dec15!$C$45)</f>
        <v>261.09249606253962</v>
      </c>
      <c r="AC43" s="2">
        <f t="shared" si="5"/>
        <v>1871.2917048672318</v>
      </c>
    </row>
    <row r="44" spans="5:29" x14ac:dyDescent="0.35">
      <c r="E44" s="4">
        <v>2700</v>
      </c>
      <c r="F44" s="8">
        <f>-(inputs_dec15!$C$4+SQRT(inputs_dec15!$C$4^2-4*inputs_dec15!$B$4*inputs_dec15!$D$4+4*inputs_dec15!$B$4*E44))/(2*inputs_dec15!$B$4)</f>
        <v>33679.379267981385</v>
      </c>
      <c r="G44" s="8">
        <f>-(inputs_dec15!$C$5+SQRT(inputs_dec15!$C$5^2-4*inputs_dec15!$B$5*inputs_dec15!$D$5+4*inputs_dec15!$B$5*E44))/(2*inputs_dec15!$B$5)</f>
        <v>32143.393278899221</v>
      </c>
      <c r="H44" s="8">
        <f>-(inputs_dec15!$C$6+SQRT(inputs_dec15!$C$6^2-4*inputs_dec15!$B$6*inputs_dec15!$D$6+4*inputs_dec15!$B$6*E44))/(2*inputs_dec15!$B$6)</f>
        <v>35605.16464043429</v>
      </c>
      <c r="I44" s="8">
        <f t="shared" si="4"/>
        <v>101427.93718731489</v>
      </c>
      <c r="J44" s="8">
        <f>+inputs_dec15!$B$11*(E44-inputs_dec15!$B$55)+inputs_dec15!$C$11</f>
        <v>1209.8912527671312</v>
      </c>
      <c r="K44" s="8">
        <f>+inputs_dec15!$B$12*(E44-inputs_dec15!$B$55)+inputs_dec15!$C$12</f>
        <v>1221.7309090974636</v>
      </c>
      <c r="L44" s="8">
        <f>inputs_dec15!$B$13*(E44-inputs_dec15!$B$55)+inputs_dec15!$C$13</f>
        <v>502.38004336237202</v>
      </c>
      <c r="M44" s="8">
        <f>+inputs_dec15!$B$14*(E44-inputs_dec15!$B$55)+inputs_dec15!$C$14</f>
        <v>456.16257499438814</v>
      </c>
      <c r="N44" s="8">
        <f>+inputs_dec15!$B$15*(E44-inputs_dec15!$B$55)+inputs_dec15!$C$15</f>
        <v>516.15677219701911</v>
      </c>
      <c r="O44" s="8">
        <f>+inputs_dec15!$B$16*(E44-inputs_dec15!$B$55)+inputs_dec15!$C$16</f>
        <v>316.86619183764401</v>
      </c>
      <c r="P44" s="11">
        <f>inputs_dec15!$B$26*J44+inputs_dec15!$C$26</f>
        <v>1191.4825576225066</v>
      </c>
      <c r="Q44" s="11">
        <f>inputs_dec15!$B$27*K44+inputs_dec15!$C$27</f>
        <v>843.32418072200403</v>
      </c>
      <c r="R44" s="11">
        <f>inputs_dec15!$B$28*L44+inputs_dec15!$C$28</f>
        <v>622.29324960643567</v>
      </c>
      <c r="S44" s="11">
        <f>inputs_dec15!$B$29*M44+inputs_dec15!$C$29</f>
        <v>128.17746060079827</v>
      </c>
      <c r="T44" s="11">
        <f>inputs_dec15!$B$30*N44+inputs_dec15!$C$30</f>
        <v>818.32362972988778</v>
      </c>
      <c r="U44" s="11">
        <f>inputs_dec15!$B$31*O44+inputs_dec15!$C$31</f>
        <v>308.49527833807497</v>
      </c>
      <c r="V44" s="12">
        <f>+P44*(1-inputs_dec15!$C$40)</f>
        <v>321.7002905580768</v>
      </c>
      <c r="W44" s="12">
        <f>+Q44*(1-inputs_dec15!$C$41)</f>
        <v>137.46184145768669</v>
      </c>
      <c r="X44" s="12">
        <f>+R44*(1-inputs_dec15!$C$42)</f>
        <v>286.25489481896039</v>
      </c>
      <c r="Y44" s="12">
        <f>+S44*(1-inputs_dec15!$C$43)</f>
        <v>80.751800178502904</v>
      </c>
      <c r="Z44" s="12">
        <f>+T44*(1-inputs_dec15!$C$44)</f>
        <v>736.49126675689899</v>
      </c>
      <c r="AA44" s="12">
        <f>+U44*(1-inputs_dec15!$C$45)</f>
        <v>262.22098658736371</v>
      </c>
      <c r="AC44" s="2">
        <f t="shared" si="5"/>
        <v>1824.8810803574895</v>
      </c>
    </row>
    <row r="45" spans="5:29" x14ac:dyDescent="0.35">
      <c r="E45" s="4">
        <v>2800</v>
      </c>
      <c r="F45" s="8">
        <f>-(inputs_dec15!$C$4+SQRT(inputs_dec15!$C$4^2-4*inputs_dec15!$B$4*inputs_dec15!$D$4+4*inputs_dec15!$B$4*E45))/(2*inputs_dec15!$B$4)</f>
        <v>31981.244485537245</v>
      </c>
      <c r="G45" s="8">
        <f>-(inputs_dec15!$C$5+SQRT(inputs_dec15!$C$5^2-4*inputs_dec15!$B$5*inputs_dec15!$D$5+4*inputs_dec15!$B$5*E45))/(2*inputs_dec15!$B$5)</f>
        <v>30020.820276276379</v>
      </c>
      <c r="H45" s="8">
        <f>-(inputs_dec15!$C$6+SQRT(inputs_dec15!$C$6^2-4*inputs_dec15!$B$6*inputs_dec15!$D$6+4*inputs_dec15!$B$6*E45))/(2*inputs_dec15!$B$6)</f>
        <v>33276.775640717817</v>
      </c>
      <c r="I45" s="8">
        <f t="shared" si="4"/>
        <v>95278.840402531438</v>
      </c>
      <c r="J45" s="8">
        <f>+inputs_dec15!$B$11*(E45-inputs_dec15!$B$55)+inputs_dec15!$C$11</f>
        <v>1268.1094867245567</v>
      </c>
      <c r="K45" s="8">
        <f>+inputs_dec15!$B$12*(E45-inputs_dec15!$B$55)+inputs_dec15!$C$12</f>
        <v>1247.2802112198183</v>
      </c>
      <c r="L45" s="8">
        <f>inputs_dec15!$B$13*(E45-inputs_dec15!$B$55)+inputs_dec15!$C$13</f>
        <v>489.92789820162619</v>
      </c>
      <c r="M45" s="8">
        <f>+inputs_dec15!$B$14*(E45-inputs_dec15!$B$55)+inputs_dec15!$C$14</f>
        <v>423.88209416841153</v>
      </c>
      <c r="N45" s="8">
        <f>+inputs_dec15!$B$15*(E45-inputs_dec15!$B$55)+inputs_dec15!$C$15</f>
        <v>512.54213709199712</v>
      </c>
      <c r="O45" s="8">
        <f>+inputs_dec15!$B$16*(E45-inputs_dec15!$B$55)+inputs_dec15!$C$16</f>
        <v>320.11453274991345</v>
      </c>
      <c r="P45" s="11">
        <f>inputs_dec15!$B$26*J45+inputs_dec15!$C$26</f>
        <v>1049.5613829124477</v>
      </c>
      <c r="Q45" s="11">
        <f>inputs_dec15!$B$27*K45+inputs_dec15!$C$27</f>
        <v>861.49885154222909</v>
      </c>
      <c r="R45" s="11">
        <f>inputs_dec15!$B$28*L45+inputs_dec15!$C$28</f>
        <v>603.24047592842555</v>
      </c>
      <c r="S45" s="11">
        <f>inputs_dec15!$B$29*M45+inputs_dec15!$C$29</f>
        <v>123.64230556259815</v>
      </c>
      <c r="T45" s="11">
        <f>inputs_dec15!$B$30*N45+inputs_dec15!$C$30</f>
        <v>817.699801240336</v>
      </c>
      <c r="U45" s="11">
        <f>inputs_dec15!$B$31*O45+inputs_dec15!$C$31</f>
        <v>309.82291424963273</v>
      </c>
      <c r="V45" s="12">
        <f>+P45*(1-inputs_dec15!$C$40)</f>
        <v>283.38157338636091</v>
      </c>
      <c r="W45" s="12">
        <f>+Q45*(1-inputs_dec15!$C$41)</f>
        <v>140.42431280138337</v>
      </c>
      <c r="X45" s="12">
        <f>+R45*(1-inputs_dec15!$C$42)</f>
        <v>277.49061892707573</v>
      </c>
      <c r="Y45" s="12">
        <f>+S45*(1-inputs_dec15!$C$43)</f>
        <v>77.894652504436834</v>
      </c>
      <c r="Z45" s="12">
        <f>+T45*(1-inputs_dec15!$C$44)</f>
        <v>735.92982111630238</v>
      </c>
      <c r="AA45" s="12">
        <f>+U45*(1-inputs_dec15!$C$45)</f>
        <v>263.3494771121878</v>
      </c>
      <c r="AC45" s="2">
        <f t="shared" si="5"/>
        <v>1778.470455847747</v>
      </c>
    </row>
    <row r="46" spans="5:29" x14ac:dyDescent="0.35">
      <c r="E46" s="4">
        <v>2900</v>
      </c>
      <c r="F46" s="8">
        <f>-(inputs_dec15!$C$4+SQRT(inputs_dec15!$C$4^2-4*inputs_dec15!$B$4*inputs_dec15!$D$4+4*inputs_dec15!$B$4*E46))/(2*inputs_dec15!$B$4)</f>
        <v>30214.396293011203</v>
      </c>
      <c r="G46" s="8">
        <f>-(inputs_dec15!$C$5+SQRT(inputs_dec15!$C$5^2-4*inputs_dec15!$B$5*inputs_dec15!$D$5+4*inputs_dec15!$B$5*E46))/(2*inputs_dec15!$B$5)</f>
        <v>27675.665551514972</v>
      </c>
      <c r="H46" s="8">
        <f>-(inputs_dec15!$C$6+SQRT(inputs_dec15!$C$6^2-4*inputs_dec15!$B$6*inputs_dec15!$D$6+4*inputs_dec15!$B$6*E46))/(2*inputs_dec15!$B$6)</f>
        <v>30305.210100943106</v>
      </c>
      <c r="I46" s="8">
        <f t="shared" si="4"/>
        <v>88195.271945469285</v>
      </c>
      <c r="J46" s="8">
        <f>+inputs_dec15!$B$11*(E46-inputs_dec15!$B$55)+inputs_dec15!$C$11</f>
        <v>1326.3277206819823</v>
      </c>
      <c r="K46" s="8">
        <f>+inputs_dec15!$B$12*(E46-inputs_dec15!$B$55)+inputs_dec15!$C$12</f>
        <v>1272.829513342173</v>
      </c>
      <c r="L46" s="8">
        <f>inputs_dec15!$B$13*(E46-inputs_dec15!$B$55)+inputs_dec15!$C$13</f>
        <v>477.47575304088042</v>
      </c>
      <c r="M46" s="8">
        <f>+inputs_dec15!$B$14*(E46-inputs_dec15!$B$55)+inputs_dec15!$C$14</f>
        <v>391.60161334243492</v>
      </c>
      <c r="N46" s="8">
        <f>+inputs_dec15!$B$15*(E46-inputs_dec15!$B$55)+inputs_dec15!$C$15</f>
        <v>508.92750198697502</v>
      </c>
      <c r="O46" s="8">
        <f>+inputs_dec15!$B$16*(E46-inputs_dec15!$B$55)+inputs_dec15!$C$16</f>
        <v>323.36287366218295</v>
      </c>
      <c r="P46" s="11">
        <f>inputs_dec15!$B$26*J46+inputs_dec15!$C$26</f>
        <v>907.6402082023892</v>
      </c>
      <c r="Q46" s="11">
        <f>inputs_dec15!$B$27*K46+inputs_dec15!$C$27</f>
        <v>879.67352236245404</v>
      </c>
      <c r="R46" s="11">
        <f>inputs_dec15!$B$28*L46+inputs_dec15!$C$28</f>
        <v>584.18770225041544</v>
      </c>
      <c r="S46" s="11">
        <f>inputs_dec15!$B$29*M46+inputs_dec15!$C$29</f>
        <v>119.10715052439804</v>
      </c>
      <c r="T46" s="11">
        <f>inputs_dec15!$B$30*N46+inputs_dec15!$C$30</f>
        <v>817.07597275078422</v>
      </c>
      <c r="U46" s="11">
        <f>inputs_dec15!$B$31*O46+inputs_dec15!$C$31</f>
        <v>311.15055016119049</v>
      </c>
      <c r="V46" s="12">
        <f>+P46*(1-inputs_dec15!$C$40)</f>
        <v>245.06285621464511</v>
      </c>
      <c r="W46" s="12">
        <f>+Q46*(1-inputs_dec15!$C$41)</f>
        <v>143.38678414508004</v>
      </c>
      <c r="X46" s="12">
        <f>+R46*(1-inputs_dec15!$C$42)</f>
        <v>268.72634303519106</v>
      </c>
      <c r="Y46" s="12">
        <f>+S46*(1-inputs_dec15!$C$43)</f>
        <v>75.037504830370764</v>
      </c>
      <c r="Z46" s="12">
        <f>+T46*(1-inputs_dec15!$C$44)</f>
        <v>735.36837547570576</v>
      </c>
      <c r="AA46" s="12">
        <f>+U46*(1-inputs_dec15!$C$45)</f>
        <v>264.47796763701189</v>
      </c>
      <c r="AC46" s="2">
        <f t="shared" si="5"/>
        <v>1732.0598313380046</v>
      </c>
    </row>
    <row r="47" spans="5:29" x14ac:dyDescent="0.35">
      <c r="E47" s="4">
        <v>3000</v>
      </c>
      <c r="F47" s="8">
        <f>-(inputs_dec15!$C$4+SQRT(inputs_dec15!$C$4^2-4*inputs_dec15!$B$4*inputs_dec15!$D$4+4*inputs_dec15!$B$4*E47))/(2*inputs_dec15!$B$4)</f>
        <v>28369.750132878697</v>
      </c>
      <c r="G47" s="8">
        <f>-(inputs_dec15!$C$5+SQRT(inputs_dec15!$C$5^2-4*inputs_dec15!$B$5*inputs_dec15!$D$5+4*inputs_dec15!$B$5*E47))/(2*inputs_dec15!$B$5)</f>
        <v>25018.534502584087</v>
      </c>
      <c r="H47" s="8">
        <f>-(inputs_dec15!$C$6+SQRT(inputs_dec15!$C$6^2-4*inputs_dec15!$B$6*inputs_dec15!$D$6+4*inputs_dec15!$B$6*E47))/(2*inputs_dec15!$B$6)</f>
        <v>25150.241736656852</v>
      </c>
      <c r="I47" s="8">
        <f t="shared" si="4"/>
        <v>78538.526372119639</v>
      </c>
      <c r="J47" s="8">
        <f>+inputs_dec15!$B$11*(E47-inputs_dec15!$B$55)+inputs_dec15!$C$11</f>
        <v>1384.5459546394077</v>
      </c>
      <c r="K47" s="8">
        <f>+inputs_dec15!$B$12*(E47-inputs_dec15!$B$55)+inputs_dec15!$C$12</f>
        <v>1298.3788154645276</v>
      </c>
      <c r="L47" s="8">
        <f>inputs_dec15!$B$13*(E47-inputs_dec15!$B$55)+inputs_dec15!$C$13</f>
        <v>465.02360788013459</v>
      </c>
      <c r="M47" s="8">
        <f>+inputs_dec15!$B$14*(E47-inputs_dec15!$B$55)+inputs_dec15!$C$14</f>
        <v>359.32113251645831</v>
      </c>
      <c r="N47" s="8">
        <f>+inputs_dec15!$B$15*(E47-inputs_dec15!$B$55)+inputs_dec15!$C$15</f>
        <v>505.31286688195291</v>
      </c>
      <c r="O47" s="8">
        <f>+inputs_dec15!$B$16*(E47-inputs_dec15!$B$55)+inputs_dec15!$C$16</f>
        <v>326.61121457445245</v>
      </c>
      <c r="P47" s="11">
        <f>inputs_dec15!$B$26*J47+inputs_dec15!$C$26</f>
        <v>765.71903349233071</v>
      </c>
      <c r="Q47" s="11">
        <f>inputs_dec15!$B$27*K47+inputs_dec15!$C$27</f>
        <v>897.8481931826791</v>
      </c>
      <c r="R47" s="11">
        <f>inputs_dec15!$B$28*L47+inputs_dec15!$C$28</f>
        <v>565.13492857240522</v>
      </c>
      <c r="S47" s="11">
        <f>inputs_dec15!$B$29*M47+inputs_dec15!$C$29</f>
        <v>114.57199548619792</v>
      </c>
      <c r="T47" s="11">
        <f>inputs_dec15!$B$30*N47+inputs_dec15!$C$30</f>
        <v>816.45214426123243</v>
      </c>
      <c r="U47" s="11">
        <f>inputs_dec15!$B$31*O47+inputs_dec15!$C$31</f>
        <v>312.47818607274826</v>
      </c>
      <c r="V47" s="12">
        <f>+P47*(1-inputs_dec15!$C$40)</f>
        <v>206.74413904292931</v>
      </c>
      <c r="W47" s="12">
        <f>+Q47*(1-inputs_dec15!$C$41)</f>
        <v>146.34925548877672</v>
      </c>
      <c r="X47" s="12">
        <f>+R47*(1-inputs_dec15!$C$42)</f>
        <v>259.9620671433064</v>
      </c>
      <c r="Y47" s="12">
        <f>+S47*(1-inputs_dec15!$C$43)</f>
        <v>72.180357156304694</v>
      </c>
      <c r="Z47" s="12">
        <f>+T47*(1-inputs_dec15!$C$44)</f>
        <v>734.80692983510926</v>
      </c>
      <c r="AA47" s="12">
        <f>+U47*(1-inputs_dec15!$C$45)</f>
        <v>265.60645816183603</v>
      </c>
      <c r="AC47" s="2">
        <f t="shared" si="5"/>
        <v>1685.6492068282623</v>
      </c>
    </row>
    <row r="51" spans="5:29" x14ac:dyDescent="0.35">
      <c r="E51" s="18">
        <v>45651</v>
      </c>
      <c r="F51" t="s">
        <v>49</v>
      </c>
    </row>
    <row r="52" spans="5:29" x14ac:dyDescent="0.35">
      <c r="E52" s="7" t="s">
        <v>34</v>
      </c>
      <c r="F52" s="7" t="s">
        <v>31</v>
      </c>
      <c r="G52" s="7" t="s">
        <v>32</v>
      </c>
      <c r="H52" s="7" t="s">
        <v>33</v>
      </c>
      <c r="I52" s="7" t="s">
        <v>35</v>
      </c>
      <c r="J52" s="9" t="s">
        <v>10</v>
      </c>
      <c r="K52" s="9" t="s">
        <v>11</v>
      </c>
      <c r="L52" s="1" t="s">
        <v>12</v>
      </c>
      <c r="M52" s="1" t="s">
        <v>13</v>
      </c>
      <c r="N52" s="1" t="s">
        <v>14</v>
      </c>
      <c r="O52" s="1" t="s">
        <v>15</v>
      </c>
      <c r="P52" s="7" t="s">
        <v>10</v>
      </c>
      <c r="Q52" s="7" t="s">
        <v>11</v>
      </c>
      <c r="R52" s="1" t="s">
        <v>12</v>
      </c>
      <c r="S52" s="1" t="s">
        <v>13</v>
      </c>
      <c r="T52" s="1" t="s">
        <v>14</v>
      </c>
      <c r="U52" s="1" t="s">
        <v>15</v>
      </c>
      <c r="V52" s="7" t="s">
        <v>10</v>
      </c>
      <c r="W52" s="7" t="s">
        <v>11</v>
      </c>
      <c r="X52" s="1" t="s">
        <v>12</v>
      </c>
      <c r="Y52" s="1" t="s">
        <v>13</v>
      </c>
      <c r="Z52" s="1" t="s">
        <v>14</v>
      </c>
      <c r="AA52" s="1" t="s">
        <v>15</v>
      </c>
      <c r="AB52" s="2"/>
      <c r="AC52" s="1" t="s">
        <v>41</v>
      </c>
    </row>
    <row r="53" spans="5:29" x14ac:dyDescent="0.35">
      <c r="E53" s="4">
        <v>2200</v>
      </c>
      <c r="F53" s="8">
        <f>-(inputs_dec25!$C$4+SQRT(inputs_dec25!$C$4^2-4*inputs_dec25!$B$4*inputs_dec25!$D$4+4*inputs_dec25!$B$4*E53))/(2*inputs_dec25!$B$4)</f>
        <v>41361.299391741188</v>
      </c>
      <c r="G53" s="8">
        <f>-(inputs_dec25!$C$5+SQRT(inputs_dec25!$C$5^2-4*inputs_dec25!$B$5*inputs_dec25!$D$5+4*inputs_dec25!$B$5*E53))/(2*inputs_dec25!$B$5)</f>
        <v>40781.578491970577</v>
      </c>
      <c r="H53" s="8">
        <f>-(inputs_dec25!$C$6+SQRT(inputs_dec25!$C$6^2-4*inputs_dec25!$B$6*inputs_dec25!$D$6+4*inputs_dec25!$B$6*E53))/(2*inputs_dec25!$B$6)</f>
        <v>43757.640416830458</v>
      </c>
      <c r="I53" s="8">
        <f t="shared" ref="I53:I61" si="6">+F53+G53+H53</f>
        <v>125900.51830054223</v>
      </c>
      <c r="J53" s="8">
        <f>+inputs_dec25!$B$11*(E53-inputs_dec25!$B$54)+inputs_dec25!$C$11</f>
        <v>918.80008298000371</v>
      </c>
      <c r="K53" s="8">
        <f>+inputs_dec25!$B$12*(E53-inputs_dec25!$B$54)+inputs_dec25!$C$12</f>
        <v>1093.9843984856907</v>
      </c>
      <c r="L53" s="8">
        <f>inputs_dec25!$B$13*(E53-inputs_dec25!$B$54)+inputs_dec25!$C$13</f>
        <v>564.64076916610099</v>
      </c>
      <c r="M53" s="8">
        <f>+inputs_dec25!$B$14*(E53-inputs_dec25!$B$54)+inputs_dec25!$C$14</f>
        <v>617.56497912427108</v>
      </c>
      <c r="N53" s="8">
        <f>+inputs_dec25!$B$15*(E53-inputs_dec25!$B$54)+inputs_dec25!$C$15</f>
        <v>534.22994772212951</v>
      </c>
      <c r="O53" s="8">
        <f>+inputs_dec25!$B$16*(E53-inputs_dec25!$B$54)+inputs_dec25!$C$16</f>
        <v>300.62448727629658</v>
      </c>
      <c r="P53" s="11">
        <f>inputs_dec25!$B$26*J53+inputs_dec25!$C$26</f>
        <v>2095.7542099071961</v>
      </c>
      <c r="Q53" s="11">
        <f>inputs_dec25!$B$27*K53+inputs_dec25!$C$27</f>
        <v>749.28982356494407</v>
      </c>
      <c r="R53" s="11">
        <f>inputs_dec25!$B$28*L53+inputs_dec25!$C$28</f>
        <v>816.45195013822024</v>
      </c>
      <c r="S53" s="11">
        <f>inputs_dec25!$B$29*M53+inputs_dec25!$C$29</f>
        <v>181.1788104952989</v>
      </c>
      <c r="T53" s="11">
        <f>inputs_dec25!$B$30*N53+inputs_dec25!$C$30</f>
        <v>832.94159688662114</v>
      </c>
      <c r="U53" s="11">
        <f>inputs_dec25!$B$31*O53+inputs_dec25!$C$31</f>
        <v>331.15942703399924</v>
      </c>
      <c r="V53" s="12">
        <f>+P53*(1-inputs_dec25!$C$39)</f>
        <v>565.853636674943</v>
      </c>
      <c r="W53" s="12">
        <f>+Q53*(1-inputs_dec25!$C$40)</f>
        <v>122.1342412410859</v>
      </c>
      <c r="X53" s="12">
        <f>+R53*(1-inputs_dec25!$C$41)</f>
        <v>375.56789706358126</v>
      </c>
      <c r="Y53" s="12">
        <f>+S53*(1-inputs_dec25!$C$42)</f>
        <v>114.14265061203831</v>
      </c>
      <c r="Z53" s="12">
        <f>+T53*(1-inputs_dec25!$C$43)</f>
        <v>749.64743719795899</v>
      </c>
      <c r="AA53" s="12">
        <f>+U53*(1-inputs_dec25!$C$44)</f>
        <v>281.48551297889935</v>
      </c>
      <c r="AB53" s="2"/>
      <c r="AC53" s="2">
        <f t="shared" ref="AC53:AC61" si="7">+SUM(V53:AA53)</f>
        <v>2208.8313757685069</v>
      </c>
    </row>
    <row r="54" spans="5:29" x14ac:dyDescent="0.35">
      <c r="E54" s="4">
        <v>2300</v>
      </c>
      <c r="F54" s="8">
        <f>-(inputs_dec25!$C$4+SQRT(inputs_dec25!$C$4^2-4*inputs_dec25!$B$4*inputs_dec25!$D$4+4*inputs_dec25!$B$4*E54))/(2*inputs_dec25!$B$4)</f>
        <v>39916.427209116307</v>
      </c>
      <c r="G54" s="8">
        <f>-(inputs_dec25!$C$5+SQRT(inputs_dec25!$C$5^2-4*inputs_dec25!$B$5*inputs_dec25!$D$5+4*inputs_dec25!$B$5*E54))/(2*inputs_dec25!$B$5)</f>
        <v>39242.832804681719</v>
      </c>
      <c r="H54" s="8">
        <f>-(inputs_dec25!$C$6+SQRT(inputs_dec25!$C$6^2-4*inputs_dec25!$B$6*inputs_dec25!$D$6+4*inputs_dec25!$B$6*E54))/(2*inputs_dec25!$B$6)</f>
        <v>42392.175697689236</v>
      </c>
      <c r="I54" s="8">
        <f t="shared" si="6"/>
        <v>121551.43571148725</v>
      </c>
      <c r="J54" s="8">
        <f>+inputs_dec25!$B$11*(E54-inputs_dec25!$B$54)+inputs_dec25!$C$11</f>
        <v>977.01831693742929</v>
      </c>
      <c r="K54" s="8">
        <f>+inputs_dec25!$B$12*(E54-inputs_dec25!$B$54)+inputs_dec25!$C$12</f>
        <v>1119.5337006080454</v>
      </c>
      <c r="L54" s="8">
        <f>inputs_dec25!$B$13*(E54-inputs_dec25!$B$54)+inputs_dec25!$C$13</f>
        <v>552.18862400535522</v>
      </c>
      <c r="M54" s="8">
        <f>+inputs_dec25!$B$14*(E54-inputs_dec25!$B$54)+inputs_dec25!$C$14</f>
        <v>585.28449829829447</v>
      </c>
      <c r="N54" s="8">
        <f>+inputs_dec25!$B$15*(E54-inputs_dec25!$B$54)+inputs_dec25!$C$15</f>
        <v>530.61531261710741</v>
      </c>
      <c r="O54" s="8">
        <f>+inputs_dec25!$B$16*(E54-inputs_dec25!$B$54)+inputs_dec25!$C$16</f>
        <v>303.87282818856607</v>
      </c>
      <c r="P54" s="11">
        <f>inputs_dec25!$B$26*J54+inputs_dec25!$C$26</f>
        <v>1984.7606106562589</v>
      </c>
      <c r="Q54" s="11">
        <f>inputs_dec25!$B$27*K54+inputs_dec25!$C$27</f>
        <v>817.70119980102527</v>
      </c>
      <c r="R54" s="11">
        <f>inputs_dec25!$B$28*L54+inputs_dec25!$C$28</f>
        <v>812.61213367161622</v>
      </c>
      <c r="S54" s="11">
        <f>inputs_dec25!$B$29*M54+inputs_dec25!$C$29</f>
        <v>175.07740878143392</v>
      </c>
      <c r="T54" s="11">
        <f>inputs_dec25!$B$30*N54+inputs_dec25!$C$30</f>
        <v>836.80806665158821</v>
      </c>
      <c r="U54" s="11">
        <f>inputs_dec25!$B$31*O54+inputs_dec25!$C$31</f>
        <v>351.85482123239171</v>
      </c>
      <c r="V54" s="12">
        <f>+P54*(1-inputs_dec25!$C$39)</f>
        <v>535.88536487718989</v>
      </c>
      <c r="W54" s="12">
        <f>+Q54*(1-inputs_dec25!$C$40)</f>
        <v>133.28529556756715</v>
      </c>
      <c r="X54" s="12">
        <f>+R54*(1-inputs_dec25!$C$41)</f>
        <v>373.80158148894344</v>
      </c>
      <c r="Y54" s="12">
        <f>+S54*(1-inputs_dec25!$C$42)</f>
        <v>110.29876753230337</v>
      </c>
      <c r="Z54" s="12">
        <f>+T54*(1-inputs_dec25!$C$43)</f>
        <v>753.12725998642941</v>
      </c>
      <c r="AA54" s="12">
        <f>+U54*(1-inputs_dec25!$C$44)</f>
        <v>299.07659804753297</v>
      </c>
      <c r="AB54" s="2"/>
      <c r="AC54" s="2">
        <f t="shared" si="7"/>
        <v>2205.474867499966</v>
      </c>
    </row>
    <row r="55" spans="5:29" x14ac:dyDescent="0.35">
      <c r="E55" s="4">
        <v>2400</v>
      </c>
      <c r="F55" s="8">
        <f>-(inputs_dec25!$C$4+SQRT(inputs_dec25!$C$4^2-4*inputs_dec25!$B$4*inputs_dec25!$D$4+4*inputs_dec25!$B$4*E55))/(2*inputs_dec25!$B$4)</f>
        <v>38429.942150758645</v>
      </c>
      <c r="G55" s="8">
        <f>-(inputs_dec25!$C$5+SQRT(inputs_dec25!$C$5^2-4*inputs_dec25!$B$5*inputs_dec25!$D$5+4*inputs_dec25!$B$5*E55))/(2*inputs_dec25!$B$5)</f>
        <v>37625.474343218877</v>
      </c>
      <c r="H55" s="8">
        <f>-(inputs_dec25!$C$6+SQRT(inputs_dec25!$C$6^2-4*inputs_dec25!$B$6*inputs_dec25!$D$6+4*inputs_dec25!$B$6*E55))/(2*inputs_dec25!$B$6)</f>
        <v>40927.426792137267</v>
      </c>
      <c r="I55" s="8">
        <f t="shared" si="6"/>
        <v>116982.84328611479</v>
      </c>
      <c r="J55" s="8">
        <f>+inputs_dec25!$B$11*(E55-inputs_dec25!$B$54)+inputs_dec25!$C$11</f>
        <v>1035.2365508948546</v>
      </c>
      <c r="K55" s="8">
        <f>+inputs_dec25!$B$12*(E55-inputs_dec25!$B$54)+inputs_dec25!$C$12</f>
        <v>1145.0830027304</v>
      </c>
      <c r="L55" s="8">
        <f>inputs_dec25!$B$13*(E55-inputs_dec25!$B$54)+inputs_dec25!$C$13</f>
        <v>539.73647884460934</v>
      </c>
      <c r="M55" s="8">
        <f>+inputs_dec25!$B$14*(E55-inputs_dec25!$B$54)+inputs_dec25!$C$14</f>
        <v>553.00401747231786</v>
      </c>
      <c r="N55" s="8">
        <f>+inputs_dec25!$B$15*(E55-inputs_dec25!$B$54)+inputs_dec25!$C$15</f>
        <v>527.0006775120853</v>
      </c>
      <c r="O55" s="8">
        <f>+inputs_dec25!$B$16*(E55-inputs_dec25!$B$54)+inputs_dec25!$C$16</f>
        <v>307.12116910083557</v>
      </c>
      <c r="P55" s="11">
        <f>inputs_dec25!$B$26*J55+inputs_dec25!$C$26</f>
        <v>1873.7670114053224</v>
      </c>
      <c r="Q55" s="11">
        <f>inputs_dec25!$B$27*K55+inputs_dec25!$C$27</f>
        <v>886.11257603710692</v>
      </c>
      <c r="R55" s="11">
        <f>inputs_dec25!$B$28*L55+inputs_dec25!$C$28</f>
        <v>808.77231720501231</v>
      </c>
      <c r="S55" s="11">
        <f>inputs_dec25!$B$29*M55+inputs_dec25!$C$29</f>
        <v>168.97600706756896</v>
      </c>
      <c r="T55" s="11">
        <f>inputs_dec25!$B$30*N55+inputs_dec25!$C$30</f>
        <v>840.67453641655527</v>
      </c>
      <c r="U55" s="11">
        <f>inputs_dec25!$B$31*O55+inputs_dec25!$C$31</f>
        <v>372.55021543078396</v>
      </c>
      <c r="V55" s="12">
        <f>+P55*(1-inputs_dec25!$C$39)</f>
        <v>505.91709307943705</v>
      </c>
      <c r="W55" s="12">
        <f>+Q55*(1-inputs_dec25!$C$40)</f>
        <v>144.43634989404845</v>
      </c>
      <c r="X55" s="12">
        <f>+R55*(1-inputs_dec25!$C$41)</f>
        <v>372.03526591430563</v>
      </c>
      <c r="Y55" s="12">
        <f>+S55*(1-inputs_dec25!$C$42)</f>
        <v>106.45488445256845</v>
      </c>
      <c r="Z55" s="12">
        <f>+T55*(1-inputs_dec25!$C$43)</f>
        <v>756.60708277489971</v>
      </c>
      <c r="AA55" s="12">
        <f>+U55*(1-inputs_dec25!$C$44)</f>
        <v>316.66768311616636</v>
      </c>
      <c r="AB55" s="2"/>
      <c r="AC55" s="2">
        <f t="shared" si="7"/>
        <v>2202.1183592314255</v>
      </c>
    </row>
    <row r="56" spans="5:29" x14ac:dyDescent="0.35">
      <c r="E56" s="4">
        <v>2500</v>
      </c>
      <c r="F56" s="8">
        <f>-(inputs_dec25!$C$4+SQRT(inputs_dec25!$C$4^2-4*inputs_dec25!$B$4*inputs_dec25!$D$4+4*inputs_dec25!$B$4*E56))/(2*inputs_dec25!$B$4)</f>
        <v>36898.027277635272</v>
      </c>
      <c r="G56" s="8">
        <f>-(inputs_dec25!$C$5+SQRT(inputs_dec25!$C$5^2-4*inputs_dec25!$B$5*inputs_dec25!$D$5+4*inputs_dec25!$B$5*E56))/(2*inputs_dec25!$B$5)</f>
        <v>35916.06140968707</v>
      </c>
      <c r="H56" s="8">
        <f>-(inputs_dec25!$C$6+SQRT(inputs_dec25!$C$6^2-4*inputs_dec25!$B$6*inputs_dec25!$D$6+4*inputs_dec25!$B$6*E56))/(2*inputs_dec25!$B$6)</f>
        <v>39337.959086468523</v>
      </c>
      <c r="I56" s="8">
        <f t="shared" si="6"/>
        <v>112152.04777379087</v>
      </c>
      <c r="J56" s="8">
        <f>+inputs_dec25!$B$11*(E56-inputs_dec25!$B$54)+inputs_dec25!$C$11</f>
        <v>1093.4547848522802</v>
      </c>
      <c r="K56" s="8">
        <f>+inputs_dec25!$B$12*(E56-inputs_dec25!$B$54)+inputs_dec25!$C$12</f>
        <v>1170.6323048527545</v>
      </c>
      <c r="L56" s="8">
        <f>inputs_dec25!$B$13*(E56-inputs_dec25!$B$54)+inputs_dec25!$C$13</f>
        <v>527.28433368386368</v>
      </c>
      <c r="M56" s="8">
        <f>+inputs_dec25!$B$14*(E56-inputs_dec25!$B$54)+inputs_dec25!$C$14</f>
        <v>520.72353664634136</v>
      </c>
      <c r="N56" s="8">
        <f>+inputs_dec25!$B$15*(E56-inputs_dec25!$B$54)+inputs_dec25!$C$15</f>
        <v>523.38604240706331</v>
      </c>
      <c r="O56" s="8">
        <f>+inputs_dec25!$B$16*(E56-inputs_dec25!$B$54)+inputs_dec25!$C$16</f>
        <v>310.36951001310501</v>
      </c>
      <c r="P56" s="11">
        <f>inputs_dec25!$B$26*J56+inputs_dec25!$C$26</f>
        <v>1762.7734121543854</v>
      </c>
      <c r="Q56" s="11">
        <f>inputs_dec25!$B$27*K56+inputs_dec25!$C$27</f>
        <v>954.52395227318766</v>
      </c>
      <c r="R56" s="11">
        <f>inputs_dec25!$B$28*L56+inputs_dec25!$C$28</f>
        <v>804.93250073840841</v>
      </c>
      <c r="S56" s="11">
        <f>inputs_dec25!$B$29*M56+inputs_dec25!$C$29</f>
        <v>162.87460535370403</v>
      </c>
      <c r="T56" s="11">
        <f>inputs_dec25!$B$30*N56+inputs_dec25!$C$30</f>
        <v>844.54100618152222</v>
      </c>
      <c r="U56" s="11">
        <f>inputs_dec25!$B$31*O56+inputs_dec25!$C$31</f>
        <v>393.24560962917622</v>
      </c>
      <c r="V56" s="12">
        <f>+P56*(1-inputs_dec25!$C$39)</f>
        <v>475.9488212816841</v>
      </c>
      <c r="W56" s="12">
        <f>+Q56*(1-inputs_dec25!$C$40)</f>
        <v>155.58740422052963</v>
      </c>
      <c r="X56" s="12">
        <f>+R56*(1-inputs_dec25!$C$41)</f>
        <v>370.26895033966781</v>
      </c>
      <c r="Y56" s="12">
        <f>+S56*(1-inputs_dec25!$C$42)</f>
        <v>102.61100137283354</v>
      </c>
      <c r="Z56" s="12">
        <f>+T56*(1-inputs_dec25!$C$43)</f>
        <v>760.08690556337001</v>
      </c>
      <c r="AA56" s="12">
        <f>+U56*(1-inputs_dec25!$C$44)</f>
        <v>334.25876818479975</v>
      </c>
      <c r="AB56" s="2"/>
      <c r="AC56" s="2">
        <f t="shared" si="7"/>
        <v>2198.7618509628846</v>
      </c>
    </row>
    <row r="57" spans="5:29" x14ac:dyDescent="0.35">
      <c r="E57" s="4">
        <v>2600</v>
      </c>
      <c r="F57" s="8">
        <f>-(inputs_dec25!$C$4+SQRT(inputs_dec25!$C$4^2-4*inputs_dec25!$B$4*inputs_dec25!$D$4+4*inputs_dec25!$B$4*E57))/(2*inputs_dec25!$B$4)</f>
        <v>35316.243801011398</v>
      </c>
      <c r="G57" s="8">
        <f>-(inputs_dec25!$C$5+SQRT(inputs_dec25!$C$5^2-4*inputs_dec25!$B$5*inputs_dec25!$D$5+4*inputs_dec25!$B$5*E57))/(2*inputs_dec25!$B$5)</f>
        <v>34096.819960656649</v>
      </c>
      <c r="H57" s="8">
        <f>-(inputs_dec25!$C$6+SQRT(inputs_dec25!$C$6^2-4*inputs_dec25!$B$6*inputs_dec25!$D$6+4*inputs_dec25!$B$6*E57))/(2*inputs_dec25!$B$6)</f>
        <v>37585.172043026047</v>
      </c>
      <c r="I57" s="8">
        <f t="shared" si="6"/>
        <v>106998.23580469409</v>
      </c>
      <c r="J57" s="8">
        <f>+inputs_dec25!$B$11*(E57-inputs_dec25!$B$54)+inputs_dec25!$C$11</f>
        <v>1151.6730188097058</v>
      </c>
      <c r="K57" s="8">
        <f>+inputs_dec25!$B$12*(E57-inputs_dec25!$B$54)+inputs_dec25!$C$12</f>
        <v>1196.1816069751092</v>
      </c>
      <c r="L57" s="8">
        <f>inputs_dec25!$B$13*(E57-inputs_dec25!$B$54)+inputs_dec25!$C$13</f>
        <v>514.83218852311779</v>
      </c>
      <c r="M57" s="8">
        <f>+inputs_dec25!$B$14*(E57-inputs_dec25!$B$54)+inputs_dec25!$C$14</f>
        <v>488.44305582036475</v>
      </c>
      <c r="N57" s="8">
        <f>+inputs_dec25!$B$15*(E57-inputs_dec25!$B$54)+inputs_dec25!$C$15</f>
        <v>519.77140730204121</v>
      </c>
      <c r="O57" s="8">
        <f>+inputs_dec25!$B$16*(E57-inputs_dec25!$B$54)+inputs_dec25!$C$16</f>
        <v>313.61785092537451</v>
      </c>
      <c r="P57" s="11">
        <f>inputs_dec25!$B$26*J57+inputs_dec25!$C$26</f>
        <v>1651.7798129034481</v>
      </c>
      <c r="Q57" s="11">
        <f>inputs_dec25!$B$27*K57+inputs_dec25!$C$27</f>
        <v>1022.9353285092693</v>
      </c>
      <c r="R57" s="11">
        <f>inputs_dec25!$B$28*L57+inputs_dec25!$C$28</f>
        <v>801.09268427180439</v>
      </c>
      <c r="S57" s="11">
        <f>inputs_dec25!$B$29*M57+inputs_dec25!$C$29</f>
        <v>156.77320363983904</v>
      </c>
      <c r="T57" s="11">
        <f>inputs_dec25!$B$30*N57+inputs_dec25!$C$30</f>
        <v>848.40747594648917</v>
      </c>
      <c r="U57" s="11">
        <f>inputs_dec25!$B$31*O57+inputs_dec25!$C$31</f>
        <v>413.94100382756869</v>
      </c>
      <c r="V57" s="12">
        <f>+P57*(1-inputs_dec25!$C$39)</f>
        <v>445.98054948393104</v>
      </c>
      <c r="W57" s="12">
        <f>+Q57*(1-inputs_dec25!$C$40)</f>
        <v>166.73845854701094</v>
      </c>
      <c r="X57" s="12">
        <f>+R57*(1-inputs_dec25!$C$41)</f>
        <v>368.50263476503</v>
      </c>
      <c r="Y57" s="12">
        <f>+S57*(1-inputs_dec25!$C$42)</f>
        <v>98.767118293098591</v>
      </c>
      <c r="Z57" s="12">
        <f>+T57*(1-inputs_dec25!$C$43)</f>
        <v>763.56672835184031</v>
      </c>
      <c r="AA57" s="12">
        <f>+U57*(1-inputs_dec25!$C$44)</f>
        <v>351.84985325343337</v>
      </c>
      <c r="AB57" s="2"/>
      <c r="AC57" s="2">
        <f t="shared" si="7"/>
        <v>2195.4053426943442</v>
      </c>
    </row>
    <row r="58" spans="5:29" x14ac:dyDescent="0.35">
      <c r="E58" s="4">
        <v>2700</v>
      </c>
      <c r="F58" s="8">
        <f>-(inputs_dec25!$C$4+SQRT(inputs_dec25!$C$4^2-4*inputs_dec25!$B$4*inputs_dec25!$D$4+4*inputs_dec25!$B$4*E58))/(2*inputs_dec25!$B$4)</f>
        <v>33679.379267981385</v>
      </c>
      <c r="G58" s="8">
        <f>-(inputs_dec25!$C$5+SQRT(inputs_dec25!$C$5^2-4*inputs_dec25!$B$5*inputs_dec25!$D$5+4*inputs_dec25!$B$5*E58))/(2*inputs_dec25!$B$5)</f>
        <v>32143.393278899221</v>
      </c>
      <c r="H58" s="8">
        <f>-(inputs_dec25!$C$6+SQRT(inputs_dec25!$C$6^2-4*inputs_dec25!$B$6*inputs_dec25!$D$6+4*inputs_dec25!$B$6*E58))/(2*inputs_dec25!$B$6)</f>
        <v>35605.16464043429</v>
      </c>
      <c r="I58" s="8">
        <f t="shared" si="6"/>
        <v>101427.93718731489</v>
      </c>
      <c r="J58" s="8">
        <f>+inputs_dec25!$B$11*(E58-inputs_dec25!$B$54)+inputs_dec25!$C$11</f>
        <v>1209.8912527671312</v>
      </c>
      <c r="K58" s="8">
        <f>+inputs_dec25!$B$12*(E58-inputs_dec25!$B$54)+inputs_dec25!$C$12</f>
        <v>1221.7309090974636</v>
      </c>
      <c r="L58" s="8">
        <f>inputs_dec25!$B$13*(E58-inputs_dec25!$B$54)+inputs_dec25!$C$13</f>
        <v>502.38004336237202</v>
      </c>
      <c r="M58" s="8">
        <f>+inputs_dec25!$B$14*(E58-inputs_dec25!$B$54)+inputs_dec25!$C$14</f>
        <v>456.16257499438814</v>
      </c>
      <c r="N58" s="8">
        <f>+inputs_dec25!$B$15*(E58-inputs_dec25!$B$54)+inputs_dec25!$C$15</f>
        <v>516.15677219701911</v>
      </c>
      <c r="O58" s="8">
        <f>+inputs_dec25!$B$16*(E58-inputs_dec25!$B$54)+inputs_dec25!$C$16</f>
        <v>316.86619183764401</v>
      </c>
      <c r="P58" s="11">
        <f>inputs_dec25!$B$26*J58+inputs_dec25!$C$26</f>
        <v>1540.7862136525114</v>
      </c>
      <c r="Q58" s="11">
        <f>inputs_dec25!$B$27*K58+inputs_dec25!$C$27</f>
        <v>1091.3467047453501</v>
      </c>
      <c r="R58" s="11">
        <f>inputs_dec25!$B$28*L58+inputs_dec25!$C$28</f>
        <v>797.25286780520037</v>
      </c>
      <c r="S58" s="11">
        <f>inputs_dec25!$B$29*M58+inputs_dec25!$C$29</f>
        <v>150.67180192597408</v>
      </c>
      <c r="T58" s="11">
        <f>inputs_dec25!$B$30*N58+inputs_dec25!$C$30</f>
        <v>852.27394571145624</v>
      </c>
      <c r="U58" s="11">
        <f>inputs_dec25!$B$31*O58+inputs_dec25!$C$31</f>
        <v>434.63639802596094</v>
      </c>
      <c r="V58" s="12">
        <f>+P58*(1-inputs_dec25!$C$39)</f>
        <v>416.01227768617809</v>
      </c>
      <c r="W58" s="12">
        <f>+Q58*(1-inputs_dec25!$C$40)</f>
        <v>177.88951287349209</v>
      </c>
      <c r="X58" s="12">
        <f>+R58*(1-inputs_dec25!$C$41)</f>
        <v>366.73631919039212</v>
      </c>
      <c r="Y58" s="12">
        <f>+S58*(1-inputs_dec25!$C$42)</f>
        <v>94.923235213363668</v>
      </c>
      <c r="Z58" s="12">
        <f>+T58*(1-inputs_dec25!$C$43)</f>
        <v>767.04655114031061</v>
      </c>
      <c r="AA58" s="12">
        <f>+U58*(1-inputs_dec25!$C$44)</f>
        <v>369.44093832206681</v>
      </c>
      <c r="AB58" s="2"/>
      <c r="AC58" s="2">
        <f t="shared" si="7"/>
        <v>2192.0488344258033</v>
      </c>
    </row>
    <row r="59" spans="5:29" x14ac:dyDescent="0.35">
      <c r="E59" s="4">
        <v>2800</v>
      </c>
      <c r="F59" s="8">
        <f>-(inputs_dec25!$C$4+SQRT(inputs_dec25!$C$4^2-4*inputs_dec25!$B$4*inputs_dec25!$D$4+4*inputs_dec25!$B$4*E59))/(2*inputs_dec25!$B$4)</f>
        <v>31981.244485537245</v>
      </c>
      <c r="G59" s="8">
        <f>-(inputs_dec25!$C$5+SQRT(inputs_dec25!$C$5^2-4*inputs_dec25!$B$5*inputs_dec25!$D$5+4*inputs_dec25!$B$5*E59))/(2*inputs_dec25!$B$5)</f>
        <v>30020.820276276379</v>
      </c>
      <c r="H59" s="8">
        <f>-(inputs_dec25!$C$6+SQRT(inputs_dec25!$C$6^2-4*inputs_dec25!$B$6*inputs_dec25!$D$6+4*inputs_dec25!$B$6*E59))/(2*inputs_dec25!$B$6)</f>
        <v>33276.775640717817</v>
      </c>
      <c r="I59" s="8">
        <f t="shared" si="6"/>
        <v>95278.840402531438</v>
      </c>
      <c r="J59" s="8">
        <f>+inputs_dec25!$B$11*(E59-inputs_dec25!$B$54)+inputs_dec25!$C$11</f>
        <v>1268.1094867245567</v>
      </c>
      <c r="K59" s="8">
        <f>+inputs_dec25!$B$12*(E59-inputs_dec25!$B$54)+inputs_dec25!$C$12</f>
        <v>1247.2802112198183</v>
      </c>
      <c r="L59" s="8">
        <f>inputs_dec25!$B$13*(E59-inputs_dec25!$B$54)+inputs_dec25!$C$13</f>
        <v>489.92789820162619</v>
      </c>
      <c r="M59" s="8">
        <f>+inputs_dec25!$B$14*(E59-inputs_dec25!$B$54)+inputs_dec25!$C$14</f>
        <v>423.88209416841153</v>
      </c>
      <c r="N59" s="8">
        <f>+inputs_dec25!$B$15*(E59-inputs_dec25!$B$54)+inputs_dec25!$C$15</f>
        <v>512.54213709199712</v>
      </c>
      <c r="O59" s="8">
        <f>+inputs_dec25!$B$16*(E59-inputs_dec25!$B$54)+inputs_dec25!$C$16</f>
        <v>320.11453274991345</v>
      </c>
      <c r="P59" s="11">
        <f>inputs_dec25!$B$26*J59+inputs_dec25!$C$26</f>
        <v>1429.7926144015742</v>
      </c>
      <c r="Q59" s="11">
        <f>inputs_dec25!$B$27*K59+inputs_dec25!$C$27</f>
        <v>1159.7580809814317</v>
      </c>
      <c r="R59" s="11">
        <f>inputs_dec25!$B$28*L59+inputs_dec25!$C$28</f>
        <v>793.41305133859646</v>
      </c>
      <c r="S59" s="11">
        <f>inputs_dec25!$B$29*M59+inputs_dec25!$C$29</f>
        <v>144.57040021210912</v>
      </c>
      <c r="T59" s="11">
        <f>inputs_dec25!$B$30*N59+inputs_dec25!$C$30</f>
        <v>856.14041547642319</v>
      </c>
      <c r="U59" s="11">
        <f>inputs_dec25!$B$31*O59+inputs_dec25!$C$31</f>
        <v>455.33179222435319</v>
      </c>
      <c r="V59" s="12">
        <f>+P59*(1-inputs_dec25!$C$39)</f>
        <v>386.04400588842503</v>
      </c>
      <c r="W59" s="12">
        <f>+Q59*(1-inputs_dec25!$C$40)</f>
        <v>189.0405671999734</v>
      </c>
      <c r="X59" s="12">
        <f>+R59*(1-inputs_dec25!$C$41)</f>
        <v>364.97000361575437</v>
      </c>
      <c r="Y59" s="12">
        <f>+S59*(1-inputs_dec25!$C$42)</f>
        <v>91.079352133628745</v>
      </c>
      <c r="Z59" s="12">
        <f>+T59*(1-inputs_dec25!$C$43)</f>
        <v>770.52637392878091</v>
      </c>
      <c r="AA59" s="12">
        <f>+U59*(1-inputs_dec25!$C$44)</f>
        <v>387.0320233907002</v>
      </c>
      <c r="AB59" s="2"/>
      <c r="AC59" s="2">
        <f t="shared" si="7"/>
        <v>2188.6923261572629</v>
      </c>
    </row>
    <row r="60" spans="5:29" x14ac:dyDescent="0.35">
      <c r="E60" s="4">
        <v>2900</v>
      </c>
      <c r="F60" s="8">
        <f>-(inputs_dec25!$C$4+SQRT(inputs_dec25!$C$4^2-4*inputs_dec25!$B$4*inputs_dec25!$D$4+4*inputs_dec25!$B$4*E60))/(2*inputs_dec25!$B$4)</f>
        <v>30214.396293011203</v>
      </c>
      <c r="G60" s="8">
        <f>-(inputs_dec25!$C$5+SQRT(inputs_dec25!$C$5^2-4*inputs_dec25!$B$5*inputs_dec25!$D$5+4*inputs_dec25!$B$5*E60))/(2*inputs_dec25!$B$5)</f>
        <v>27675.665551514972</v>
      </c>
      <c r="H60" s="8">
        <f>-(inputs_dec25!$C$6+SQRT(inputs_dec25!$C$6^2-4*inputs_dec25!$B$6*inputs_dec25!$D$6+4*inputs_dec25!$B$6*E60))/(2*inputs_dec25!$B$6)</f>
        <v>30305.210100943106</v>
      </c>
      <c r="I60" s="8">
        <f t="shared" si="6"/>
        <v>88195.271945469285</v>
      </c>
      <c r="J60" s="8">
        <f>+inputs_dec25!$B$11*(E60-inputs_dec25!$B$54)+inputs_dec25!$C$11</f>
        <v>1326.3277206819823</v>
      </c>
      <c r="K60" s="8">
        <f>+inputs_dec25!$B$12*(E60-inputs_dec25!$B$54)+inputs_dec25!$C$12</f>
        <v>1272.829513342173</v>
      </c>
      <c r="L60" s="8">
        <f>inputs_dec25!$B$13*(E60-inputs_dec25!$B$54)+inputs_dec25!$C$13</f>
        <v>477.47575304088042</v>
      </c>
      <c r="M60" s="8">
        <f>+inputs_dec25!$B$14*(E60-inputs_dec25!$B$54)+inputs_dec25!$C$14</f>
        <v>391.60161334243492</v>
      </c>
      <c r="N60" s="8">
        <f>+inputs_dec25!$B$15*(E60-inputs_dec25!$B$54)+inputs_dec25!$C$15</f>
        <v>508.92750198697502</v>
      </c>
      <c r="O60" s="8">
        <f>+inputs_dec25!$B$16*(E60-inputs_dec25!$B$54)+inputs_dec25!$C$16</f>
        <v>323.36287366218295</v>
      </c>
      <c r="P60" s="11">
        <f>inputs_dec25!$B$26*J60+inputs_dec25!$C$26</f>
        <v>1318.7990151506374</v>
      </c>
      <c r="Q60" s="11">
        <f>inputs_dec25!$B$27*K60+inputs_dec25!$C$27</f>
        <v>1228.1694572175134</v>
      </c>
      <c r="R60" s="11">
        <f>inputs_dec25!$B$28*L60+inputs_dec25!$C$28</f>
        <v>789.57323487199255</v>
      </c>
      <c r="S60" s="11">
        <f>inputs_dec25!$B$29*M60+inputs_dec25!$C$29</f>
        <v>138.46899849824416</v>
      </c>
      <c r="T60" s="11">
        <f>inputs_dec25!$B$30*N60+inputs_dec25!$C$30</f>
        <v>860.00688524139025</v>
      </c>
      <c r="U60" s="11">
        <f>inputs_dec25!$B$31*O60+inputs_dec25!$C$31</f>
        <v>476.02718642274567</v>
      </c>
      <c r="V60" s="12">
        <f>+P60*(1-inputs_dec25!$C$39)</f>
        <v>356.07573409067214</v>
      </c>
      <c r="W60" s="12">
        <f>+Q60*(1-inputs_dec25!$C$40)</f>
        <v>200.19162152645472</v>
      </c>
      <c r="X60" s="12">
        <f>+R60*(1-inputs_dec25!$C$41)</f>
        <v>363.20368804111655</v>
      </c>
      <c r="Y60" s="12">
        <f>+S60*(1-inputs_dec25!$C$42)</f>
        <v>87.235469053893823</v>
      </c>
      <c r="Z60" s="12">
        <f>+T60*(1-inputs_dec25!$C$43)</f>
        <v>774.00619671725121</v>
      </c>
      <c r="AA60" s="12">
        <f>+U60*(1-inputs_dec25!$C$44)</f>
        <v>404.62310845933382</v>
      </c>
      <c r="AB60" s="2"/>
      <c r="AC60" s="2">
        <f t="shared" si="7"/>
        <v>2185.335817888722</v>
      </c>
    </row>
    <row r="61" spans="5:29" x14ac:dyDescent="0.35">
      <c r="E61" s="4">
        <v>3000</v>
      </c>
      <c r="F61" s="8">
        <f>-(inputs_dec25!$C$4+SQRT(inputs_dec25!$C$4^2-4*inputs_dec25!$B$4*inputs_dec25!$D$4+4*inputs_dec25!$B$4*E61))/(2*inputs_dec25!$B$4)</f>
        <v>28369.750132878697</v>
      </c>
      <c r="G61" s="8">
        <f>-(inputs_dec25!$C$5+SQRT(inputs_dec25!$C$5^2-4*inputs_dec25!$B$5*inputs_dec25!$D$5+4*inputs_dec25!$B$5*E61))/(2*inputs_dec25!$B$5)</f>
        <v>25018.534502584087</v>
      </c>
      <c r="H61" s="8">
        <f>-(inputs_dec25!$C$6+SQRT(inputs_dec25!$C$6^2-4*inputs_dec25!$B$6*inputs_dec25!$D$6+4*inputs_dec25!$B$6*E61))/(2*inputs_dec25!$B$6)</f>
        <v>25150.241736656852</v>
      </c>
      <c r="I61" s="8">
        <f t="shared" si="6"/>
        <v>78538.526372119639</v>
      </c>
      <c r="J61" s="8">
        <f>+inputs_dec25!$B$11*(E61-inputs_dec25!$B$54)+inputs_dec25!$C$11</f>
        <v>1384.5459546394077</v>
      </c>
      <c r="K61" s="8">
        <f>+inputs_dec25!$B$12*(E61-inputs_dec25!$B$54)+inputs_dec25!$C$12</f>
        <v>1298.3788154645276</v>
      </c>
      <c r="L61" s="8">
        <f>inputs_dec25!$B$13*(E61-inputs_dec25!$B$54)+inputs_dec25!$C$13</f>
        <v>465.02360788013459</v>
      </c>
      <c r="M61" s="8">
        <f>+inputs_dec25!$B$14*(E61-inputs_dec25!$B$54)+inputs_dec25!$C$14</f>
        <v>359.32113251645831</v>
      </c>
      <c r="N61" s="8">
        <f>+inputs_dec25!$B$15*(E61-inputs_dec25!$B$54)+inputs_dec25!$C$15</f>
        <v>505.31286688195291</v>
      </c>
      <c r="O61" s="8">
        <f>+inputs_dec25!$B$16*(E61-inputs_dec25!$B$54)+inputs_dec25!$C$16</f>
        <v>326.61121457445245</v>
      </c>
      <c r="P61" s="11">
        <f>inputs_dec25!$B$26*J61+inputs_dec25!$C$26</f>
        <v>1207.8054158997006</v>
      </c>
      <c r="Q61" s="11">
        <f>inputs_dec25!$B$27*K61+inputs_dec25!$C$27</f>
        <v>1296.5808334535946</v>
      </c>
      <c r="R61" s="11">
        <f>inputs_dec25!$B$28*L61+inputs_dec25!$C$28</f>
        <v>785.73341840538853</v>
      </c>
      <c r="S61" s="11">
        <f>inputs_dec25!$B$29*M61+inputs_dec25!$C$29</f>
        <v>132.36759678437917</v>
      </c>
      <c r="T61" s="11">
        <f>inputs_dec25!$B$30*N61+inputs_dec25!$C$30</f>
        <v>863.8733550063572</v>
      </c>
      <c r="U61" s="11">
        <f>inputs_dec25!$B$31*O61+inputs_dec25!$C$31</f>
        <v>496.72258062113815</v>
      </c>
      <c r="V61" s="12">
        <f>+P61*(1-inputs_dec25!$C$39)</f>
        <v>326.10746229291919</v>
      </c>
      <c r="W61" s="12">
        <f>+Q61*(1-inputs_dec25!$C$40)</f>
        <v>211.34267585293597</v>
      </c>
      <c r="X61" s="12">
        <f>+R61*(1-inputs_dec25!$C$41)</f>
        <v>361.43737246647868</v>
      </c>
      <c r="Y61" s="12">
        <f>+S61*(1-inputs_dec25!$C$42)</f>
        <v>83.391585974158886</v>
      </c>
      <c r="Z61" s="12">
        <f>+T61*(1-inputs_dec25!$C$43)</f>
        <v>777.48601950572152</v>
      </c>
      <c r="AA61" s="12">
        <f>+U61*(1-inputs_dec25!$C$44)</f>
        <v>422.21419352796744</v>
      </c>
      <c r="AB61" s="2"/>
      <c r="AC61" s="2">
        <f t="shared" si="7"/>
        <v>2181.9793096201815</v>
      </c>
    </row>
    <row r="64" spans="5:29" x14ac:dyDescent="0.35">
      <c r="E64" t="s">
        <v>51</v>
      </c>
      <c r="U64" t="s">
        <v>55</v>
      </c>
    </row>
    <row r="65" spans="5:32" x14ac:dyDescent="0.35">
      <c r="R65" t="s">
        <v>50</v>
      </c>
      <c r="S65" t="s">
        <v>54</v>
      </c>
      <c r="T65" t="s">
        <v>50</v>
      </c>
      <c r="U65" t="s">
        <v>50</v>
      </c>
    </row>
    <row r="66" spans="5:32" x14ac:dyDescent="0.35">
      <c r="E66" s="18">
        <v>45651</v>
      </c>
      <c r="F66" t="s">
        <v>49</v>
      </c>
      <c r="L66" s="53" t="s">
        <v>52</v>
      </c>
      <c r="M66" s="53"/>
      <c r="N66" s="53"/>
      <c r="O66" s="53"/>
      <c r="R66" s="53" t="s">
        <v>39</v>
      </c>
      <c r="S66" s="53"/>
      <c r="T66" s="53"/>
      <c r="U66" s="53"/>
      <c r="X66" s="53" t="s">
        <v>53</v>
      </c>
      <c r="Y66" s="53"/>
      <c r="Z66" s="53"/>
      <c r="AA66" s="53"/>
    </row>
    <row r="67" spans="5:32" x14ac:dyDescent="0.35">
      <c r="E67" s="7" t="s">
        <v>34</v>
      </c>
      <c r="F67" s="7" t="s">
        <v>31</v>
      </c>
      <c r="G67" s="7" t="s">
        <v>32</v>
      </c>
      <c r="H67" s="7" t="s">
        <v>33</v>
      </c>
      <c r="I67" s="7" t="s">
        <v>35</v>
      </c>
      <c r="J67" s="23" t="s">
        <v>10</v>
      </c>
      <c r="K67" s="23" t="s">
        <v>11</v>
      </c>
      <c r="L67" s="1" t="s">
        <v>12</v>
      </c>
      <c r="M67" s="1" t="s">
        <v>13</v>
      </c>
      <c r="N67" s="1" t="s">
        <v>14</v>
      </c>
      <c r="O67" s="1" t="s">
        <v>15</v>
      </c>
      <c r="P67" s="25" t="s">
        <v>10</v>
      </c>
      <c r="Q67" s="25" t="s">
        <v>11</v>
      </c>
      <c r="R67" s="1" t="s">
        <v>12</v>
      </c>
      <c r="S67" s="1" t="s">
        <v>13</v>
      </c>
      <c r="T67" s="1" t="s">
        <v>14</v>
      </c>
      <c r="U67" s="1" t="s">
        <v>15</v>
      </c>
      <c r="V67" s="25" t="s">
        <v>10</v>
      </c>
      <c r="W67" s="25" t="s">
        <v>11</v>
      </c>
      <c r="X67" s="1" t="s">
        <v>12</v>
      </c>
      <c r="Y67" s="47" t="s">
        <v>13</v>
      </c>
      <c r="Z67" s="1" t="s">
        <v>14</v>
      </c>
      <c r="AA67" s="1" t="s">
        <v>15</v>
      </c>
      <c r="AB67" s="2"/>
      <c r="AC67" s="1" t="s">
        <v>41</v>
      </c>
    </row>
    <row r="68" spans="5:32" x14ac:dyDescent="0.35">
      <c r="E68" s="4">
        <v>2200</v>
      </c>
      <c r="F68" s="8">
        <f>-(inputs_dec25!$C$4+SQRT(inputs_dec25!$C$4^2-4*inputs_dec25!$B$4*inputs_dec25!$D$4+4*inputs_dec25!$B$4*E68))/(2*inputs_dec25!$B$4)</f>
        <v>41361.299391741188</v>
      </c>
      <c r="G68" s="8">
        <f>-(inputs_dec25!$C$5+SQRT(inputs_dec25!$C$5^2-4*inputs_dec25!$B$5*inputs_dec25!$D$5+4*inputs_dec25!$B$5*E68))/(2*inputs_dec25!$B$5)</f>
        <v>40781.578491970577</v>
      </c>
      <c r="H68" s="8">
        <f>-(inputs_dec25!$C$6+SQRT(inputs_dec25!$C$6^2-4*inputs_dec25!$B$6*inputs_dec25!$D$6+4*inputs_dec25!$B$6*E68))/(2*inputs_dec25!$B$6)</f>
        <v>43757.640416830458</v>
      </c>
      <c r="I68" s="8">
        <f t="shared" ref="I68:I76" si="8">+F68+G68+H68</f>
        <v>125900.51830054223</v>
      </c>
      <c r="J68" s="24">
        <f>+inputs_dec25!$B$11*(E68-inputs_dec25!$B$54)+inputs_dec25!$C$11</f>
        <v>918.80008298000371</v>
      </c>
      <c r="K68" s="24">
        <f>+inputs_dec25!$B$12*(E68-inputs_dec25!$B$54)+inputs_dec25!$C$12</f>
        <v>1093.9843984856907</v>
      </c>
      <c r="L68" s="8">
        <f>inputs_dec25!$B$13*(E68-inputs_dec25!$B$54)+inputs_dec25!$C$13</f>
        <v>564.64076916610099</v>
      </c>
      <c r="M68" s="8">
        <f>+inputs_dec25!$B$14*(E68-inputs_dec25!$B$54)+inputs_dec25!$C$14</f>
        <v>617.56497912427108</v>
      </c>
      <c r="N68" s="8">
        <f>+inputs_dec25!$B$15*(E68-inputs_dec25!$B$54)+inputs_dec25!$C$15</f>
        <v>534.22994772212951</v>
      </c>
      <c r="O68" s="8">
        <f>+inputs_dec25!$B$16*(E68-inputs_dec25!$B$54)+inputs_dec25!$C$16</f>
        <v>300.62448727629658</v>
      </c>
      <c r="P68" s="24">
        <f>inputs_dec25!$B$26*J68+inputs_dec25!$C$26</f>
        <v>2095.7542099071961</v>
      </c>
      <c r="Q68" s="24">
        <f>inputs_dec25!$B$27*K68+inputs_dec25!$C$27</f>
        <v>749.28982356494407</v>
      </c>
      <c r="R68" s="11">
        <f>inputs_dec25!$B$28*L68+inputs_dec25!$C$28</f>
        <v>816.45195013822024</v>
      </c>
      <c r="S68" s="11">
        <f>inputs_dec25!$B$29*M68+inputs_dec25!$C$29</f>
        <v>181.1788104952989</v>
      </c>
      <c r="T68" s="11">
        <f>inputs_dec25!$B$30*N68+inputs_dec25!$C$30</f>
        <v>832.94159688662114</v>
      </c>
      <c r="U68" s="11">
        <f>inputs_dec1!$B$31*O68+inputs_dec1!$C$31</f>
        <v>316.18722344073035</v>
      </c>
      <c r="V68" s="24">
        <f>+P68*(1-inputs_dec25!$C$39)</f>
        <v>565.853636674943</v>
      </c>
      <c r="W68" s="24">
        <f>+Q68*(1-inputs_dec25!$C$40)</f>
        <v>122.1342412410859</v>
      </c>
      <c r="X68" s="12">
        <f>+R68*(1-inputs_dec25!$C$41)</f>
        <v>375.56789706358126</v>
      </c>
      <c r="Y68" s="48">
        <f>+S68*(1-inputs_dec25!$C$42)</f>
        <v>114.14265061203831</v>
      </c>
      <c r="Z68" s="12">
        <f>+T68*(1-inputs_dec25!$C$43)</f>
        <v>749.64743719795899</v>
      </c>
      <c r="AA68" s="12">
        <f>+U68*(1-inputs_dec25!$C$44)</f>
        <v>268.7591399246208</v>
      </c>
      <c r="AB68" s="2"/>
      <c r="AC68" s="16">
        <f>+X68+Z68+AA68</f>
        <v>1393.9744741861609</v>
      </c>
    </row>
    <row r="69" spans="5:32" x14ac:dyDescent="0.35">
      <c r="E69" s="4">
        <v>2300</v>
      </c>
      <c r="F69" s="8">
        <f>-(inputs_dec25!$C$4+SQRT(inputs_dec25!$C$4^2-4*inputs_dec25!$B$4*inputs_dec25!$D$4+4*inputs_dec25!$B$4*E69))/(2*inputs_dec25!$B$4)</f>
        <v>39916.427209116307</v>
      </c>
      <c r="G69" s="8">
        <f>-(inputs_dec25!$C$5+SQRT(inputs_dec25!$C$5^2-4*inputs_dec25!$B$5*inputs_dec25!$D$5+4*inputs_dec25!$B$5*E69))/(2*inputs_dec25!$B$5)</f>
        <v>39242.832804681719</v>
      </c>
      <c r="H69" s="8">
        <f>-(inputs_dec25!$C$6+SQRT(inputs_dec25!$C$6^2-4*inputs_dec25!$B$6*inputs_dec25!$D$6+4*inputs_dec25!$B$6*E69))/(2*inputs_dec25!$B$6)</f>
        <v>42392.175697689236</v>
      </c>
      <c r="I69" s="8">
        <f t="shared" si="8"/>
        <v>121551.43571148725</v>
      </c>
      <c r="J69" s="24">
        <f>+inputs_dec25!$B$11*(E69-inputs_dec25!$B$54)+inputs_dec25!$C$11</f>
        <v>977.01831693742929</v>
      </c>
      <c r="K69" s="24">
        <f>+inputs_dec25!$B$12*(E69-inputs_dec25!$B$54)+inputs_dec25!$C$12</f>
        <v>1119.5337006080454</v>
      </c>
      <c r="L69" s="8">
        <f>inputs_dec25!$B$13*(E69-inputs_dec25!$B$54)+inputs_dec25!$C$13</f>
        <v>552.18862400535522</v>
      </c>
      <c r="M69" s="8">
        <f>+inputs_dec25!$B$14*(E69-inputs_dec25!$B$54)+inputs_dec25!$C$14</f>
        <v>585.28449829829447</v>
      </c>
      <c r="N69" s="8">
        <f>+inputs_dec25!$B$15*(E69-inputs_dec25!$B$54)+inputs_dec25!$C$15</f>
        <v>530.61531261710741</v>
      </c>
      <c r="O69" s="8">
        <f>+inputs_dec25!$B$16*(E69-inputs_dec25!$B$54)+inputs_dec25!$C$16</f>
        <v>303.87282818856607</v>
      </c>
      <c r="P69" s="24">
        <f>inputs_dec25!$B$26*J69+inputs_dec25!$C$26</f>
        <v>1984.7606106562589</v>
      </c>
      <c r="Q69" s="24">
        <f>inputs_dec25!$B$27*K69+inputs_dec25!$C$27</f>
        <v>817.70119980102527</v>
      </c>
      <c r="R69" s="11">
        <f>inputs_dec25!$B$28*L69+inputs_dec25!$C$28</f>
        <v>812.61213367161622</v>
      </c>
      <c r="S69" s="11">
        <f>inputs_dec25!$B$29*M69+inputs_dec25!$C$29</f>
        <v>175.07740878143392</v>
      </c>
      <c r="T69" s="11">
        <f>inputs_dec25!$B$30*N69+inputs_dec25!$C$30</f>
        <v>836.80806665158821</v>
      </c>
      <c r="U69" s="11">
        <f>inputs_dec1!$B$31*O69+inputs_dec1!$C$31</f>
        <v>318.39190880242802</v>
      </c>
      <c r="V69" s="24">
        <f>+P69*(1-inputs_dec25!$C$39)</f>
        <v>535.88536487718989</v>
      </c>
      <c r="W69" s="24">
        <f>+Q69*(1-inputs_dec25!$C$40)</f>
        <v>133.28529556756715</v>
      </c>
      <c r="X69" s="12">
        <f>+R69*(1-inputs_dec25!$C$41)</f>
        <v>373.80158148894344</v>
      </c>
      <c r="Y69" s="48">
        <f>+S69*(1-inputs_dec25!$C$42)</f>
        <v>110.29876753230337</v>
      </c>
      <c r="Z69" s="12">
        <f>+T69*(1-inputs_dec25!$C$43)</f>
        <v>753.12725998642941</v>
      </c>
      <c r="AA69" s="12">
        <f>+U69*(1-inputs_dec25!$C$44)</f>
        <v>270.63312248206381</v>
      </c>
      <c r="AB69" s="2"/>
      <c r="AC69" s="16">
        <f t="shared" ref="AC69:AC76" si="9">+X69+Z69+AA69</f>
        <v>1397.5619639574365</v>
      </c>
    </row>
    <row r="70" spans="5:32" ht="15" thickBot="1" x14ac:dyDescent="0.4">
      <c r="E70" s="26">
        <v>2400</v>
      </c>
      <c r="F70" s="27">
        <f>-(inputs_dec25!$C$4+SQRT(inputs_dec25!$C$4^2-4*inputs_dec25!$B$4*inputs_dec25!$D$4+4*inputs_dec25!$B$4*E70))/(2*inputs_dec25!$B$4)</f>
        <v>38429.942150758645</v>
      </c>
      <c r="G70" s="27">
        <f>-(inputs_dec25!$C$5+SQRT(inputs_dec25!$C$5^2-4*inputs_dec25!$B$5*inputs_dec25!$D$5+4*inputs_dec25!$B$5*E70))/(2*inputs_dec25!$B$5)</f>
        <v>37625.474343218877</v>
      </c>
      <c r="H70" s="27">
        <f>-(inputs_dec25!$C$6+SQRT(inputs_dec25!$C$6^2-4*inputs_dec25!$B$6*inputs_dec25!$D$6+4*inputs_dec25!$B$6*E70))/(2*inputs_dec25!$B$6)</f>
        <v>40927.426792137267</v>
      </c>
      <c r="I70" s="27">
        <f t="shared" si="8"/>
        <v>116982.84328611479</v>
      </c>
      <c r="J70" s="28">
        <f>+inputs_dec25!$B$11*(E70-inputs_dec25!$B$54)+inputs_dec25!$C$11</f>
        <v>1035.2365508948546</v>
      </c>
      <c r="K70" s="28">
        <f>+inputs_dec25!$B$12*(E70-inputs_dec25!$B$54)+inputs_dec25!$C$12</f>
        <v>1145.0830027304</v>
      </c>
      <c r="L70" s="27">
        <f>inputs_dec25!$B$13*(E70-inputs_dec25!$B$54)+inputs_dec25!$C$13</f>
        <v>539.73647884460934</v>
      </c>
      <c r="M70" s="27">
        <f>+inputs_dec25!$B$14*(E70-inputs_dec25!$B$54)+inputs_dec25!$C$14</f>
        <v>553.00401747231786</v>
      </c>
      <c r="N70" s="27">
        <f>+inputs_dec25!$B$15*(E70-inputs_dec25!$B$54)+inputs_dec25!$C$15</f>
        <v>527.0006775120853</v>
      </c>
      <c r="O70" s="27">
        <f>+inputs_dec25!$B$16*(E70-inputs_dec25!$B$54)+inputs_dec25!$C$16</f>
        <v>307.12116910083557</v>
      </c>
      <c r="P70" s="28">
        <f>inputs_dec25!$B$26*J70+inputs_dec25!$C$26</f>
        <v>1873.7670114053224</v>
      </c>
      <c r="Q70" s="28">
        <f>inputs_dec25!$B$27*K70+inputs_dec25!$C$27</f>
        <v>886.11257603710692</v>
      </c>
      <c r="R70" s="29">
        <f>inputs_dec25!$B$28*L70+inputs_dec25!$C$28</f>
        <v>808.77231720501231</v>
      </c>
      <c r="S70" s="29">
        <f>inputs_dec25!$B$29*M70+inputs_dec25!$C$29</f>
        <v>168.97600706756896</v>
      </c>
      <c r="T70" s="29">
        <f>inputs_dec25!$B$30*N70+inputs_dec25!$C$30</f>
        <v>840.67453641655527</v>
      </c>
      <c r="U70" s="29">
        <f>inputs_dec1!$B$31*O70+inputs_dec1!$C$31</f>
        <v>320.5965941641258</v>
      </c>
      <c r="V70" s="28">
        <f>+P70*(1-inputs_dec25!$C$39)</f>
        <v>505.91709307943705</v>
      </c>
      <c r="W70" s="28">
        <f>+Q70*(1-inputs_dec25!$C$40)</f>
        <v>144.43634989404845</v>
      </c>
      <c r="X70" s="30">
        <f>+R70*(1-inputs_dec25!$C$41)</f>
        <v>372.03526591430563</v>
      </c>
      <c r="Y70" s="49">
        <f>+S70*(1-inputs_dec25!$C$42)</f>
        <v>106.45488445256845</v>
      </c>
      <c r="Z70" s="30">
        <f>+T70*(1-inputs_dec25!$C$43)</f>
        <v>756.60708277489971</v>
      </c>
      <c r="AA70" s="30">
        <f>+U70*(1-inputs_dec25!$C$44)</f>
        <v>272.50710503950694</v>
      </c>
      <c r="AB70" s="31"/>
      <c r="AC70" s="32">
        <f t="shared" si="9"/>
        <v>1401.1494537287124</v>
      </c>
    </row>
    <row r="71" spans="5:32" ht="15" thickBot="1" x14ac:dyDescent="0.4">
      <c r="E71" s="40">
        <v>2500</v>
      </c>
      <c r="F71" s="41">
        <f>-(inputs_dec25!$C$4+SQRT(inputs_dec25!$C$4^2-4*inputs_dec25!$B$4*inputs_dec25!$D$4+4*inputs_dec25!$B$4*E71))/(2*inputs_dec25!$B$4)</f>
        <v>36898.027277635272</v>
      </c>
      <c r="G71" s="41">
        <f>-(inputs_dec25!$C$5+SQRT(inputs_dec25!$C$5^2-4*inputs_dec25!$B$5*inputs_dec25!$D$5+4*inputs_dec25!$B$5*E71))/(2*inputs_dec25!$B$5)</f>
        <v>35916.06140968707</v>
      </c>
      <c r="H71" s="41">
        <f>-(inputs_dec25!$C$6+SQRT(inputs_dec25!$C$6^2-4*inputs_dec25!$B$6*inputs_dec25!$D$6+4*inputs_dec25!$B$6*E71))/(2*inputs_dec25!$B$6)</f>
        <v>39337.959086468523</v>
      </c>
      <c r="I71" s="41">
        <f t="shared" si="8"/>
        <v>112152.04777379087</v>
      </c>
      <c r="J71" s="42">
        <f>+inputs_dec25!$B$11*(E71-inputs_dec25!$B$54)+inputs_dec25!$C$11</f>
        <v>1093.4547848522802</v>
      </c>
      <c r="K71" s="42">
        <f>+inputs_dec25!$B$12*(E71-inputs_dec25!$B$54)+inputs_dec25!$C$12</f>
        <v>1170.6323048527545</v>
      </c>
      <c r="L71" s="41">
        <f>inputs_dec25!$B$13*(E71-inputs_dec25!$B$54)+inputs_dec25!$C$13</f>
        <v>527.28433368386368</v>
      </c>
      <c r="M71" s="41">
        <f>+inputs_dec25!$B$14*(E71-inputs_dec25!$B$54)+inputs_dec25!$C$14</f>
        <v>520.72353664634136</v>
      </c>
      <c r="N71" s="41">
        <f>+inputs_dec25!$B$15*(E71-inputs_dec25!$B$54)+inputs_dec25!$C$15</f>
        <v>523.38604240706331</v>
      </c>
      <c r="O71" s="41">
        <f>+inputs_dec25!$B$16*(E71-inputs_dec25!$B$54)+inputs_dec25!$C$16</f>
        <v>310.36951001310501</v>
      </c>
      <c r="P71" s="42">
        <f>inputs_dec25!$B$26*J71+inputs_dec25!$C$26</f>
        <v>1762.7734121543854</v>
      </c>
      <c r="Q71" s="42">
        <f>inputs_dec25!$B$27*K71+inputs_dec25!$C$27</f>
        <v>954.52395227318766</v>
      </c>
      <c r="R71" s="43">
        <f>inputs_dec25!$B$28*L71+inputs_dec25!$C$28</f>
        <v>804.93250073840841</v>
      </c>
      <c r="S71" s="43">
        <f>inputs_dec25!$B$29*M71+inputs_dec25!$C$29</f>
        <v>162.87460535370403</v>
      </c>
      <c r="T71" s="43">
        <f>inputs_dec25!$B$30*N71+inputs_dec25!$C$30</f>
        <v>844.54100618152222</v>
      </c>
      <c r="U71" s="43">
        <f>inputs_dec1!$B$31*O71+inputs_dec1!$C$31</f>
        <v>322.80127952582347</v>
      </c>
      <c r="V71" s="42">
        <f>+P71*(1-inputs_dec25!$C$39)</f>
        <v>475.9488212816841</v>
      </c>
      <c r="W71" s="42">
        <f>+Q71*(1-inputs_dec25!$C$40)</f>
        <v>155.58740422052963</v>
      </c>
      <c r="X71" s="44">
        <f>+R71*(1-inputs_dec25!$C$41)</f>
        <v>370.26895033966781</v>
      </c>
      <c r="Y71" s="50">
        <f>+S71*(1-inputs_dec25!$C$42)</f>
        <v>102.61100137283354</v>
      </c>
      <c r="Z71" s="44">
        <f>+T71*(1-inputs_dec25!$C$43)</f>
        <v>760.08690556337001</v>
      </c>
      <c r="AA71" s="44">
        <f>+U71*(1-inputs_dec25!$C$44)</f>
        <v>274.38108759694995</v>
      </c>
      <c r="AB71" s="45"/>
      <c r="AC71" s="46">
        <f t="shared" si="9"/>
        <v>1404.7369434999878</v>
      </c>
    </row>
    <row r="72" spans="5:32" x14ac:dyDescent="0.35">
      <c r="E72" s="33">
        <v>2600</v>
      </c>
      <c r="F72" s="34">
        <f>-(inputs_dec25!$C$4+SQRT(inputs_dec25!$C$4^2-4*inputs_dec25!$B$4*inputs_dec25!$D$4+4*inputs_dec25!$B$4*E72))/(2*inputs_dec25!$B$4)</f>
        <v>35316.243801011398</v>
      </c>
      <c r="G72" s="34">
        <f>-(inputs_dec25!$C$5+SQRT(inputs_dec25!$C$5^2-4*inputs_dec25!$B$5*inputs_dec25!$D$5+4*inputs_dec25!$B$5*E72))/(2*inputs_dec25!$B$5)</f>
        <v>34096.819960656649</v>
      </c>
      <c r="H72" s="34">
        <f>-(inputs_dec25!$C$6+SQRT(inputs_dec25!$C$6^2-4*inputs_dec25!$B$6*inputs_dec25!$D$6+4*inputs_dec25!$B$6*E72))/(2*inputs_dec25!$B$6)</f>
        <v>37585.172043026047</v>
      </c>
      <c r="I72" s="34">
        <f t="shared" si="8"/>
        <v>106998.23580469409</v>
      </c>
      <c r="J72" s="35">
        <f>+inputs_dec25!$B$11*(E72-inputs_dec25!$B$54)+inputs_dec25!$C$11</f>
        <v>1151.6730188097058</v>
      </c>
      <c r="K72" s="35">
        <f>+inputs_dec25!$B$12*(E72-inputs_dec25!$B$54)+inputs_dec25!$C$12</f>
        <v>1196.1816069751092</v>
      </c>
      <c r="L72" s="34">
        <f>inputs_dec25!$B$13*(E72-inputs_dec25!$B$54)+inputs_dec25!$C$13</f>
        <v>514.83218852311779</v>
      </c>
      <c r="M72" s="34">
        <f>+inputs_dec25!$B$14*(E72-inputs_dec25!$B$54)+inputs_dec25!$C$14</f>
        <v>488.44305582036475</v>
      </c>
      <c r="N72" s="34">
        <f>+inputs_dec25!$B$15*(E72-inputs_dec25!$B$54)+inputs_dec25!$C$15</f>
        <v>519.77140730204121</v>
      </c>
      <c r="O72" s="34">
        <f>+inputs_dec25!$B$16*(E72-inputs_dec25!$B$54)+inputs_dec25!$C$16</f>
        <v>313.61785092537451</v>
      </c>
      <c r="P72" s="35">
        <f>inputs_dec25!$B$26*J72+inputs_dec25!$C$26</f>
        <v>1651.7798129034481</v>
      </c>
      <c r="Q72" s="35">
        <f>inputs_dec25!$B$27*K72+inputs_dec25!$C$27</f>
        <v>1022.9353285092693</v>
      </c>
      <c r="R72" s="36">
        <f>inputs_dec25!$B$28*L72+inputs_dec25!$C$28</f>
        <v>801.09268427180439</v>
      </c>
      <c r="S72" s="36">
        <f>inputs_dec25!$B$29*M72+inputs_dec25!$C$29</f>
        <v>156.77320363983904</v>
      </c>
      <c r="T72" s="36">
        <f>inputs_dec25!$B$30*N72+inputs_dec25!$C$30</f>
        <v>848.40747594648917</v>
      </c>
      <c r="U72" s="36">
        <f>inputs_dec1!$B$31*O72+inputs_dec1!$C$31</f>
        <v>325.00596488752115</v>
      </c>
      <c r="V72" s="35">
        <f>+P72*(1-inputs_dec25!$C$39)</f>
        <v>445.98054948393104</v>
      </c>
      <c r="W72" s="35">
        <f>+Q72*(1-inputs_dec25!$C$40)</f>
        <v>166.73845854701094</v>
      </c>
      <c r="X72" s="37">
        <f>+R72*(1-inputs_dec25!$C$41)</f>
        <v>368.50263476503</v>
      </c>
      <c r="Y72" s="51">
        <f>+S72*(1-inputs_dec25!$C$42)</f>
        <v>98.767118293098591</v>
      </c>
      <c r="Z72" s="37">
        <f>+T72*(1-inputs_dec25!$C$43)</f>
        <v>763.56672835184031</v>
      </c>
      <c r="AA72" s="37">
        <f>+U72*(1-inputs_dec25!$C$44)</f>
        <v>276.25507015439297</v>
      </c>
      <c r="AB72" s="38"/>
      <c r="AC72" s="39">
        <f t="shared" si="9"/>
        <v>1408.3244332712634</v>
      </c>
    </row>
    <row r="73" spans="5:32" ht="15" thickBot="1" x14ac:dyDescent="0.4">
      <c r="E73" s="26">
        <v>2700</v>
      </c>
      <c r="F73" s="27">
        <f>-(inputs_dec25!$C$4+SQRT(inputs_dec25!$C$4^2-4*inputs_dec25!$B$4*inputs_dec25!$D$4+4*inputs_dec25!$B$4*E73))/(2*inputs_dec25!$B$4)</f>
        <v>33679.379267981385</v>
      </c>
      <c r="G73" s="27">
        <f>-(inputs_dec25!$C$5+SQRT(inputs_dec25!$C$5^2-4*inputs_dec25!$B$5*inputs_dec25!$D$5+4*inputs_dec25!$B$5*E73))/(2*inputs_dec25!$B$5)</f>
        <v>32143.393278899221</v>
      </c>
      <c r="H73" s="27">
        <f>-(inputs_dec25!$C$6+SQRT(inputs_dec25!$C$6^2-4*inputs_dec25!$B$6*inputs_dec25!$D$6+4*inputs_dec25!$B$6*E73))/(2*inputs_dec25!$B$6)</f>
        <v>35605.16464043429</v>
      </c>
      <c r="I73" s="27">
        <f t="shared" si="8"/>
        <v>101427.93718731489</v>
      </c>
      <c r="J73" s="28">
        <f>+inputs_dec25!$B$11*(E73-inputs_dec25!$B$54)+inputs_dec25!$C$11</f>
        <v>1209.8912527671312</v>
      </c>
      <c r="K73" s="28">
        <f>+inputs_dec25!$B$12*(E73-inputs_dec25!$B$54)+inputs_dec25!$C$12</f>
        <v>1221.7309090974636</v>
      </c>
      <c r="L73" s="27">
        <f>inputs_dec25!$B$13*(E73-inputs_dec25!$B$54)+inputs_dec25!$C$13</f>
        <v>502.38004336237202</v>
      </c>
      <c r="M73" s="27">
        <f>+inputs_dec25!$B$14*(E73-inputs_dec25!$B$54)+inputs_dec25!$C$14</f>
        <v>456.16257499438814</v>
      </c>
      <c r="N73" s="27">
        <f>+inputs_dec25!$B$15*(E73-inputs_dec25!$B$54)+inputs_dec25!$C$15</f>
        <v>516.15677219701911</v>
      </c>
      <c r="O73" s="27">
        <f>+inputs_dec25!$B$16*(E73-inputs_dec25!$B$54)+inputs_dec25!$C$16</f>
        <v>316.86619183764401</v>
      </c>
      <c r="P73" s="28">
        <f>inputs_dec25!$B$26*J73+inputs_dec25!$C$26</f>
        <v>1540.7862136525114</v>
      </c>
      <c r="Q73" s="28">
        <f>inputs_dec25!$B$27*K73+inputs_dec25!$C$27</f>
        <v>1091.3467047453501</v>
      </c>
      <c r="R73" s="29">
        <f>inputs_dec25!$B$28*L73+inputs_dec25!$C$28</f>
        <v>797.25286780520037</v>
      </c>
      <c r="S73" s="29">
        <f>inputs_dec25!$B$29*M73+inputs_dec25!$C$29</f>
        <v>150.67180192597408</v>
      </c>
      <c r="T73" s="29">
        <f>inputs_dec25!$B$30*N73+inputs_dec25!$C$30</f>
        <v>852.27394571145624</v>
      </c>
      <c r="U73" s="29">
        <f>inputs_dec1!$B$31*O73+inputs_dec1!$C$31</f>
        <v>327.21065024921893</v>
      </c>
      <c r="V73" s="28">
        <f>+P73*(1-inputs_dec25!$C$39)</f>
        <v>416.01227768617809</v>
      </c>
      <c r="W73" s="28">
        <f>+Q73*(1-inputs_dec25!$C$40)</f>
        <v>177.88951287349209</v>
      </c>
      <c r="X73" s="30">
        <f>+R73*(1-inputs_dec25!$C$41)</f>
        <v>366.73631919039212</v>
      </c>
      <c r="Y73" s="49">
        <f>+S73*(1-inputs_dec25!$C$42)</f>
        <v>94.923235213363668</v>
      </c>
      <c r="Z73" s="30">
        <f>+T73*(1-inputs_dec25!$C$43)</f>
        <v>767.04655114031061</v>
      </c>
      <c r="AA73" s="30">
        <f>+U73*(1-inputs_dec25!$C$44)</f>
        <v>278.1290527118361</v>
      </c>
      <c r="AB73" s="31"/>
      <c r="AC73" s="32">
        <f t="shared" si="9"/>
        <v>1411.9119230425388</v>
      </c>
    </row>
    <row r="74" spans="5:32" ht="15" thickBot="1" x14ac:dyDescent="0.4">
      <c r="E74" s="40">
        <v>2800</v>
      </c>
      <c r="F74" s="41">
        <f>-(inputs_dec25!$C$4+SQRT(inputs_dec25!$C$4^2-4*inputs_dec25!$B$4*inputs_dec25!$D$4+4*inputs_dec25!$B$4*E74))/(2*inputs_dec25!$B$4)</f>
        <v>31981.244485537245</v>
      </c>
      <c r="G74" s="41">
        <f>-(inputs_dec25!$C$5+SQRT(inputs_dec25!$C$5^2-4*inputs_dec25!$B$5*inputs_dec25!$D$5+4*inputs_dec25!$B$5*E74))/(2*inputs_dec25!$B$5)</f>
        <v>30020.820276276379</v>
      </c>
      <c r="H74" s="41">
        <f>-(inputs_dec25!$C$6+SQRT(inputs_dec25!$C$6^2-4*inputs_dec25!$B$6*inputs_dec25!$D$6+4*inputs_dec25!$B$6*E74))/(2*inputs_dec25!$B$6)</f>
        <v>33276.775640717817</v>
      </c>
      <c r="I74" s="41">
        <f t="shared" si="8"/>
        <v>95278.840402531438</v>
      </c>
      <c r="J74" s="42">
        <f>+inputs_dec25!$B$11*(E74-inputs_dec25!$B$54)+inputs_dec25!$C$11</f>
        <v>1268.1094867245567</v>
      </c>
      <c r="K74" s="42">
        <f>+inputs_dec25!$B$12*(E74-inputs_dec25!$B$54)+inputs_dec25!$C$12</f>
        <v>1247.2802112198183</v>
      </c>
      <c r="L74" s="41">
        <f>inputs_dec25!$B$13*(E74-inputs_dec25!$B$54)+inputs_dec25!$C$13</f>
        <v>489.92789820162619</v>
      </c>
      <c r="M74" s="41">
        <f>+inputs_dec25!$B$14*(E74-inputs_dec25!$B$54)+inputs_dec25!$C$14</f>
        <v>423.88209416841153</v>
      </c>
      <c r="N74" s="41">
        <f>+inputs_dec25!$B$15*(E74-inputs_dec25!$B$54)+inputs_dec25!$C$15</f>
        <v>512.54213709199712</v>
      </c>
      <c r="O74" s="41">
        <f>+inputs_dec25!$B$16*(E74-inputs_dec25!$B$54)+inputs_dec25!$C$16</f>
        <v>320.11453274991345</v>
      </c>
      <c r="P74" s="42">
        <f>inputs_dec25!$B$26*J74+inputs_dec25!$C$26</f>
        <v>1429.7926144015742</v>
      </c>
      <c r="Q74" s="42">
        <f>inputs_dec25!$B$27*K74+inputs_dec25!$C$27</f>
        <v>1159.7580809814317</v>
      </c>
      <c r="R74" s="43">
        <f>inputs_dec25!$B$28*L74+inputs_dec25!$C$28</f>
        <v>793.41305133859646</v>
      </c>
      <c r="S74" s="43">
        <f>inputs_dec25!$B$29*M74+inputs_dec25!$C$29</f>
        <v>144.57040021210912</v>
      </c>
      <c r="T74" s="43">
        <f>inputs_dec25!$B$30*N74+inputs_dec25!$C$30</f>
        <v>856.14041547642319</v>
      </c>
      <c r="U74" s="43">
        <f>inputs_dec1!$B$31*O74+inputs_dec1!$C$31</f>
        <v>329.4153356109166</v>
      </c>
      <c r="V74" s="42">
        <f>+P74*(1-inputs_dec25!$C$39)</f>
        <v>386.04400588842503</v>
      </c>
      <c r="W74" s="42">
        <f>+Q74*(1-inputs_dec25!$C$40)</f>
        <v>189.0405671999734</v>
      </c>
      <c r="X74" s="44">
        <f>+R74*(1-inputs_dec25!$C$41)</f>
        <v>364.97000361575437</v>
      </c>
      <c r="Y74" s="50">
        <f>+S74*(1-inputs_dec25!$C$42)</f>
        <v>91.079352133628745</v>
      </c>
      <c r="Z74" s="44">
        <f>+T74*(1-inputs_dec25!$C$43)</f>
        <v>770.52637392878091</v>
      </c>
      <c r="AA74" s="44">
        <f>+U74*(1-inputs_dec25!$C$44)</f>
        <v>280.00303526927911</v>
      </c>
      <c r="AB74" s="45"/>
      <c r="AC74" s="46">
        <f t="shared" si="9"/>
        <v>1415.4994128138144</v>
      </c>
      <c r="AE74" s="17">
        <f>+AC74-AC71</f>
        <v>10.762469313826614</v>
      </c>
      <c r="AF74" t="s">
        <v>56</v>
      </c>
    </row>
    <row r="75" spans="5:32" x14ac:dyDescent="0.35">
      <c r="E75" s="33">
        <v>2900</v>
      </c>
      <c r="F75" s="34">
        <f>-(inputs_dec25!$C$4+SQRT(inputs_dec25!$C$4^2-4*inputs_dec25!$B$4*inputs_dec25!$D$4+4*inputs_dec25!$B$4*E75))/(2*inputs_dec25!$B$4)</f>
        <v>30214.396293011203</v>
      </c>
      <c r="G75" s="34">
        <f>-(inputs_dec25!$C$5+SQRT(inputs_dec25!$C$5^2-4*inputs_dec25!$B$5*inputs_dec25!$D$5+4*inputs_dec25!$B$5*E75))/(2*inputs_dec25!$B$5)</f>
        <v>27675.665551514972</v>
      </c>
      <c r="H75" s="34">
        <f>-(inputs_dec25!$C$6+SQRT(inputs_dec25!$C$6^2-4*inputs_dec25!$B$6*inputs_dec25!$D$6+4*inputs_dec25!$B$6*E75))/(2*inputs_dec25!$B$6)</f>
        <v>30305.210100943106</v>
      </c>
      <c r="I75" s="34">
        <f t="shared" si="8"/>
        <v>88195.271945469285</v>
      </c>
      <c r="J75" s="35">
        <f>+inputs_dec25!$B$11*(E75-inputs_dec25!$B$54)+inputs_dec25!$C$11</f>
        <v>1326.3277206819823</v>
      </c>
      <c r="K75" s="35">
        <f>+inputs_dec25!$B$12*(E75-inputs_dec25!$B$54)+inputs_dec25!$C$12</f>
        <v>1272.829513342173</v>
      </c>
      <c r="L75" s="34">
        <f>inputs_dec25!$B$13*(E75-inputs_dec25!$B$54)+inputs_dec25!$C$13</f>
        <v>477.47575304088042</v>
      </c>
      <c r="M75" s="34">
        <f>+inputs_dec25!$B$14*(E75-inputs_dec25!$B$54)+inputs_dec25!$C$14</f>
        <v>391.60161334243492</v>
      </c>
      <c r="N75" s="34">
        <f>+inputs_dec25!$B$15*(E75-inputs_dec25!$B$54)+inputs_dec25!$C$15</f>
        <v>508.92750198697502</v>
      </c>
      <c r="O75" s="34">
        <f>+inputs_dec25!$B$16*(E75-inputs_dec25!$B$54)+inputs_dec25!$C$16</f>
        <v>323.36287366218295</v>
      </c>
      <c r="P75" s="35">
        <f>inputs_dec25!$B$26*J75+inputs_dec25!$C$26</f>
        <v>1318.7990151506374</v>
      </c>
      <c r="Q75" s="35">
        <f>inputs_dec25!$B$27*K75+inputs_dec25!$C$27</f>
        <v>1228.1694572175134</v>
      </c>
      <c r="R75" s="36">
        <f>inputs_dec25!$B$28*L75+inputs_dec25!$C$28</f>
        <v>789.57323487199255</v>
      </c>
      <c r="S75" s="36">
        <f>inputs_dec25!$B$29*M75+inputs_dec25!$C$29</f>
        <v>138.46899849824416</v>
      </c>
      <c r="T75" s="36">
        <f>inputs_dec25!$B$30*N75+inputs_dec25!$C$30</f>
        <v>860.00688524139025</v>
      </c>
      <c r="U75" s="36">
        <f>inputs_dec1!$B$31*O75+inputs_dec1!$C$31</f>
        <v>331.62002097261427</v>
      </c>
      <c r="V75" s="35">
        <f>+P75*(1-inputs_dec25!$C$39)</f>
        <v>356.07573409067214</v>
      </c>
      <c r="W75" s="35">
        <f>+Q75*(1-inputs_dec25!$C$40)</f>
        <v>200.19162152645472</v>
      </c>
      <c r="X75" s="37">
        <f>+R75*(1-inputs_dec25!$C$41)</f>
        <v>363.20368804111655</v>
      </c>
      <c r="Y75" s="51">
        <f>+S75*(1-inputs_dec25!$C$42)</f>
        <v>87.235469053893823</v>
      </c>
      <c r="Z75" s="37">
        <f>+T75*(1-inputs_dec25!$C$43)</f>
        <v>774.00619671725121</v>
      </c>
      <c r="AA75" s="37">
        <f>+U75*(1-inputs_dec25!$C$44)</f>
        <v>281.87701782672212</v>
      </c>
      <c r="AB75" s="38"/>
      <c r="AC75" s="39">
        <f t="shared" si="9"/>
        <v>1419.0869025850898</v>
      </c>
    </row>
    <row r="76" spans="5:32" x14ac:dyDescent="0.35">
      <c r="E76" s="4">
        <v>3000</v>
      </c>
      <c r="F76" s="8">
        <f>-(inputs_dec25!$C$4+SQRT(inputs_dec25!$C$4^2-4*inputs_dec25!$B$4*inputs_dec25!$D$4+4*inputs_dec25!$B$4*E76))/(2*inputs_dec25!$B$4)</f>
        <v>28369.750132878697</v>
      </c>
      <c r="G76" s="8">
        <f>-(inputs_dec25!$C$5+SQRT(inputs_dec25!$C$5^2-4*inputs_dec25!$B$5*inputs_dec25!$D$5+4*inputs_dec25!$B$5*E76))/(2*inputs_dec25!$B$5)</f>
        <v>25018.534502584087</v>
      </c>
      <c r="H76" s="8">
        <f>-(inputs_dec25!$C$6+SQRT(inputs_dec25!$C$6^2-4*inputs_dec25!$B$6*inputs_dec25!$D$6+4*inputs_dec25!$B$6*E76))/(2*inputs_dec25!$B$6)</f>
        <v>25150.241736656852</v>
      </c>
      <c r="I76" s="8">
        <f t="shared" si="8"/>
        <v>78538.526372119639</v>
      </c>
      <c r="J76" s="24">
        <f>+inputs_dec25!$B$11*(E76-inputs_dec25!$B$54)+inputs_dec25!$C$11</f>
        <v>1384.5459546394077</v>
      </c>
      <c r="K76" s="24">
        <f>+inputs_dec25!$B$12*(E76-inputs_dec25!$B$54)+inputs_dec25!$C$12</f>
        <v>1298.3788154645276</v>
      </c>
      <c r="L76" s="8">
        <f>inputs_dec25!$B$13*(E76-inputs_dec25!$B$54)+inputs_dec25!$C$13</f>
        <v>465.02360788013459</v>
      </c>
      <c r="M76" s="8">
        <f>+inputs_dec25!$B$14*(E76-inputs_dec25!$B$54)+inputs_dec25!$C$14</f>
        <v>359.32113251645831</v>
      </c>
      <c r="N76" s="8">
        <f>+inputs_dec25!$B$15*(E76-inputs_dec25!$B$54)+inputs_dec25!$C$15</f>
        <v>505.31286688195291</v>
      </c>
      <c r="O76" s="8">
        <f>+inputs_dec25!$B$16*(E76-inputs_dec25!$B$54)+inputs_dec25!$C$16</f>
        <v>326.61121457445245</v>
      </c>
      <c r="P76" s="24">
        <f>inputs_dec25!$B$26*J76+inputs_dec25!$C$26</f>
        <v>1207.8054158997006</v>
      </c>
      <c r="Q76" s="24">
        <f>inputs_dec25!$B$27*K76+inputs_dec25!$C$27</f>
        <v>1296.5808334535946</v>
      </c>
      <c r="R76" s="11">
        <f>inputs_dec25!$B$28*L76+inputs_dec25!$C$28</f>
        <v>785.73341840538853</v>
      </c>
      <c r="S76" s="11">
        <f>inputs_dec25!$B$29*M76+inputs_dec25!$C$29</f>
        <v>132.36759678437917</v>
      </c>
      <c r="T76" s="11">
        <f>inputs_dec25!$B$30*N76+inputs_dec25!$C$30</f>
        <v>863.8733550063572</v>
      </c>
      <c r="U76" s="11">
        <f>inputs_dec1!$B$31*O76+inputs_dec1!$C$31</f>
        <v>333.82470633431205</v>
      </c>
      <c r="V76" s="24">
        <f>+P76*(1-inputs_dec25!$C$39)</f>
        <v>326.10746229291919</v>
      </c>
      <c r="W76" s="24">
        <f>+Q76*(1-inputs_dec25!$C$40)</f>
        <v>211.34267585293597</v>
      </c>
      <c r="X76" s="12">
        <f>+R76*(1-inputs_dec25!$C$41)</f>
        <v>361.43737246647868</v>
      </c>
      <c r="Y76" s="48">
        <f>+S76*(1-inputs_dec25!$C$42)</f>
        <v>83.391585974158886</v>
      </c>
      <c r="Z76" s="12">
        <f>+T76*(1-inputs_dec25!$C$43)</f>
        <v>777.48601950572152</v>
      </c>
      <c r="AA76" s="12">
        <f>+U76*(1-inputs_dec25!$C$44)</f>
        <v>283.75100038416525</v>
      </c>
      <c r="AB76" s="2"/>
      <c r="AC76" s="16">
        <f t="shared" si="9"/>
        <v>1422.6743923563654</v>
      </c>
      <c r="AE76" s="17"/>
    </row>
  </sheetData>
  <mergeCells count="10">
    <mergeCell ref="L66:O66"/>
    <mergeCell ref="R66:U66"/>
    <mergeCell ref="X66:AA66"/>
    <mergeCell ref="I7:Q7"/>
    <mergeCell ref="J37:O37"/>
    <mergeCell ref="P37:U37"/>
    <mergeCell ref="V37:AA37"/>
    <mergeCell ref="J24:O24"/>
    <mergeCell ref="P24:U24"/>
    <mergeCell ref="V24:AA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inputs_dec25</vt:lpstr>
      <vt:lpstr>inputs_dec15</vt:lpstr>
      <vt:lpstr>inputs_dec1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Pessetto</dc:creator>
  <cp:lastModifiedBy>Scott Pessetto</cp:lastModifiedBy>
  <dcterms:created xsi:type="dcterms:W3CDTF">2023-12-13T00:41:27Z</dcterms:created>
  <dcterms:modified xsi:type="dcterms:W3CDTF">2026-06-10T21:17:34Z</dcterms:modified>
</cp:coreProperties>
</file>