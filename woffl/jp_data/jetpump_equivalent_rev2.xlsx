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lcorp0-my.sharepoint.com/personal/kaelin_ellis_hilcorp_com/Documents/Facility_Engineer/Jet Pump/subsurface_dimensions/"/>
    </mc:Choice>
  </mc:AlternateContent>
  <xr:revisionPtr revIDLastSave="13" documentId="8_{5A768EC7-A5C5-4565-8E96-8B8CAA6D01C3}" xr6:coauthVersionLast="47" xr6:coauthVersionMax="47" xr10:uidLastSave="{952FE3C2-FD23-476A-9537-0E1B97DEB797}"/>
  <bookViews>
    <workbookView xWindow="39160" yWindow="-7850" windowWidth="16200" windowHeight="27970" firstSheet="1" activeTab="3" xr2:uid="{7A81124B-A405-4FE6-92F5-84E55903C7F2}"/>
  </bookViews>
  <sheets>
    <sheet name="background" sheetId="6" r:id="rId1"/>
    <sheet name="selection" sheetId="9" r:id="rId2"/>
    <sheet name="national" sheetId="1" r:id="rId3"/>
    <sheet name="guiberson" sheetId="7" r:id="rId4"/>
    <sheet name="kobe" sheetId="2" r:id="rId5"/>
    <sheet name="petrolift" sheetId="8" r:id="rId6"/>
  </sheets>
  <definedNames>
    <definedName name="UNI_AA_VERSION" hidden="1">"322.3.0"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7" l="1"/>
  <c r="F5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" i="8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2" i="2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2" i="7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2" i="2"/>
  <c r="F3" i="9"/>
  <c r="G13" i="7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E3" i="9"/>
  <c r="G3" i="9" s="1"/>
  <c r="E25" i="8"/>
  <c r="E26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" i="7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H3" i="9" l="1"/>
  <c r="G4" i="8"/>
  <c r="G5" i="8"/>
  <c r="G3" i="8"/>
  <c r="G2" i="8"/>
  <c r="G12" i="8"/>
  <c r="G11" i="8"/>
  <c r="G10" i="8"/>
  <c r="G9" i="8"/>
  <c r="G8" i="8"/>
  <c r="G7" i="8"/>
  <c r="G6" i="8"/>
  <c r="G10" i="2"/>
  <c r="G2" i="7"/>
  <c r="F26" i="7" s="1"/>
  <c r="G26" i="7" s="1"/>
  <c r="G9" i="2"/>
  <c r="G8" i="2"/>
  <c r="G21" i="2"/>
  <c r="G7" i="2"/>
  <c r="G20" i="2"/>
  <c r="G6" i="2"/>
  <c r="G19" i="2"/>
  <c r="G5" i="2"/>
  <c r="G18" i="2"/>
  <c r="G4" i="2"/>
  <c r="G13" i="2"/>
  <c r="G12" i="2"/>
  <c r="G11" i="2"/>
  <c r="G2" i="2"/>
  <c r="G17" i="2"/>
  <c r="G3" i="2"/>
  <c r="G16" i="2"/>
  <c r="G15" i="2"/>
  <c r="G14" i="2"/>
  <c r="G8" i="7"/>
  <c r="G25" i="7"/>
  <c r="G7" i="7"/>
  <c r="G24" i="7"/>
  <c r="G6" i="7"/>
  <c r="G19" i="7"/>
  <c r="G5" i="7"/>
  <c r="G18" i="7"/>
  <c r="G17" i="7"/>
  <c r="G3" i="7"/>
  <c r="G12" i="7"/>
  <c r="G21" i="7"/>
  <c r="G20" i="7"/>
  <c r="G4" i="7"/>
  <c r="G16" i="7"/>
  <c r="G22" i="7"/>
  <c r="G15" i="7"/>
  <c r="G23" i="7"/>
  <c r="G11" i="7"/>
  <c r="G10" i="7"/>
  <c r="G9" i="7"/>
  <c r="G14" i="7"/>
  <c r="F6" i="9" l="1"/>
  <c r="C6" i="9"/>
  <c r="C5" i="9"/>
  <c r="F7" i="9"/>
  <c r="F26" i="8" s="1"/>
  <c r="G26" i="8" s="1"/>
  <c r="C7" i="9"/>
  <c r="F15" i="8" l="1"/>
  <c r="G15" i="8" s="1"/>
  <c r="F18" i="8"/>
  <c r="G18" i="8" s="1"/>
  <c r="F21" i="8"/>
  <c r="G21" i="8" s="1"/>
  <c r="F13" i="8"/>
  <c r="G13" i="8" s="1"/>
  <c r="F24" i="8"/>
  <c r="G24" i="8" s="1"/>
  <c r="F23" i="8"/>
  <c r="G23" i="8" s="1"/>
  <c r="F22" i="8"/>
  <c r="G22" i="8" s="1"/>
  <c r="F20" i="8"/>
  <c r="G20" i="8" s="1"/>
  <c r="F19" i="8"/>
  <c r="G19" i="8" s="1"/>
  <c r="F16" i="8"/>
  <c r="G16" i="8" s="1"/>
  <c r="F14" i="8"/>
  <c r="G14" i="8" s="1"/>
  <c r="F25" i="8"/>
  <c r="G25" i="8" s="1"/>
  <c r="F17" i="8"/>
  <c r="G17" i="8" s="1"/>
  <c r="F33" i="7"/>
  <c r="G33" i="7" s="1"/>
  <c r="F41" i="7"/>
  <c r="G41" i="7" s="1"/>
  <c r="F28" i="7"/>
  <c r="G28" i="7" s="1"/>
  <c r="F42" i="7"/>
  <c r="G42" i="7" s="1"/>
  <c r="F43" i="7"/>
  <c r="G43" i="7" s="1"/>
  <c r="F34" i="7"/>
  <c r="G34" i="7" s="1"/>
  <c r="F30" i="7"/>
  <c r="G30" i="7" s="1"/>
  <c r="F35" i="7"/>
  <c r="G35" i="7" s="1"/>
  <c r="F44" i="7"/>
  <c r="G44" i="7" s="1"/>
  <c r="F36" i="7"/>
  <c r="G36" i="7" s="1"/>
  <c r="F31" i="7"/>
  <c r="G31" i="7" s="1"/>
  <c r="F37" i="7"/>
  <c r="G37" i="7" s="1"/>
  <c r="F45" i="7"/>
  <c r="G45" i="7" s="1"/>
  <c r="F38" i="7"/>
  <c r="G38" i="7" s="1"/>
  <c r="F32" i="7"/>
  <c r="G32" i="7" s="1"/>
  <c r="F39" i="7"/>
  <c r="G39" i="7" s="1"/>
  <c r="F40" i="7"/>
  <c r="G40" i="7" s="1"/>
  <c r="F27" i="7"/>
  <c r="G27" i="7" s="1"/>
  <c r="F29" i="7"/>
  <c r="G29" i="7" s="1"/>
  <c r="G7" i="9" l="1"/>
  <c r="H7" i="9" s="1"/>
  <c r="E7" i="9"/>
  <c r="G5" i="9"/>
  <c r="H5" i="9" s="1"/>
  <c r="E5" i="9"/>
  <c r="F40" i="2"/>
  <c r="G40" i="2" s="1"/>
  <c r="F32" i="2" l="1"/>
  <c r="G32" i="2" s="1"/>
  <c r="F45" i="2"/>
  <c r="G45" i="2" s="1"/>
  <c r="F35" i="2"/>
  <c r="G35" i="2" s="1"/>
  <c r="F38" i="2"/>
  <c r="G38" i="2" s="1"/>
  <c r="F29" i="2"/>
  <c r="G29" i="2" s="1"/>
  <c r="F22" i="2"/>
  <c r="G22" i="2" s="1"/>
  <c r="F30" i="2"/>
  <c r="G30" i="2" s="1"/>
  <c r="F44" i="2"/>
  <c r="G44" i="2" s="1"/>
  <c r="F31" i="2"/>
  <c r="G31" i="2" s="1"/>
  <c r="F24" i="2"/>
  <c r="G24" i="2" s="1"/>
  <c r="F37" i="2"/>
  <c r="G37" i="2" s="1"/>
  <c r="F23" i="2"/>
  <c r="G23" i="2" s="1"/>
  <c r="F34" i="2"/>
  <c r="G34" i="2" s="1"/>
  <c r="F36" i="2"/>
  <c r="G36" i="2" s="1"/>
  <c r="F42" i="2"/>
  <c r="G42" i="2" s="1"/>
  <c r="F26" i="2"/>
  <c r="G26" i="2" s="1"/>
  <c r="F28" i="2"/>
  <c r="G28" i="2" s="1"/>
  <c r="F33" i="2"/>
  <c r="G33" i="2" s="1"/>
  <c r="F39" i="2"/>
  <c r="G39" i="2" s="1"/>
  <c r="F25" i="2"/>
  <c r="G25" i="2" s="1"/>
  <c r="F43" i="2"/>
  <c r="G43" i="2" s="1"/>
  <c r="F41" i="2"/>
  <c r="G41" i="2" s="1"/>
  <c r="F27" i="2"/>
  <c r="G27" i="2" s="1"/>
  <c r="G6" i="9" l="1"/>
  <c r="H6" i="9" s="1"/>
  <c r="E6" i="9"/>
</calcChain>
</file>

<file path=xl/sharedStrings.xml><?xml version="1.0" encoding="utf-8"?>
<sst xmlns="http://schemas.openxmlformats.org/spreadsheetml/2006/main" count="403" uniqueCount="46">
  <si>
    <t>jet_pumping_oil_wells, hal petrie and e. smart, Part 1: 1983</t>
  </si>
  <si>
    <t>brand</t>
  </si>
  <si>
    <t>nozzle</t>
  </si>
  <si>
    <t>throat</t>
  </si>
  <si>
    <t>nozzle dia.</t>
  </si>
  <si>
    <t>throat dia.</t>
  </si>
  <si>
    <t>diameter</t>
  </si>
  <si>
    <t>number</t>
  </si>
  <si>
    <t>ratio</t>
  </si>
  <si>
    <t>inches</t>
  </si>
  <si>
    <t>desired</t>
  </si>
  <si>
    <t>national</t>
  </si>
  <si>
    <t>B</t>
  </si>
  <si>
    <t>equivalent</t>
  </si>
  <si>
    <t>guiberson</t>
  </si>
  <si>
    <t>kobe</t>
  </si>
  <si>
    <t>petrolift</t>
  </si>
  <si>
    <t>type</t>
  </si>
  <si>
    <t>dia_in</t>
  </si>
  <si>
    <t>area_in2</t>
  </si>
  <si>
    <t>X</t>
  </si>
  <si>
    <t>A</t>
  </si>
  <si>
    <t>C</t>
  </si>
  <si>
    <t>D</t>
  </si>
  <si>
    <t>E</t>
  </si>
  <si>
    <t>dia_ratio</t>
  </si>
  <si>
    <t>residual</t>
  </si>
  <si>
    <t>DD</t>
  </si>
  <si>
    <t>CC</t>
  </si>
  <si>
    <t>BB</t>
  </si>
  <si>
    <t>A+</t>
  </si>
  <si>
    <t>B+</t>
  </si>
  <si>
    <t>C+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</si>
  <si>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</si>
  <si>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</si>
  <si>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</si>
  <si>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</si>
  <si>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</si>
  <si>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</si>
  <si>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</si>
  <si>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</si>
  <si>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</si>
  <si>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</si>
  <si>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000</t>
  </si>
  <si>
    <t>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</si>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</sst>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165" fontId="2" fillId="0" borderId="0" xfId="0" applyNumberFormat="1" applyFont="1"/>
    <xf numFmtId="165" fontId="1" fillId="0" borderId="0" xfId="0" applyNumberFormat="1" applyFont="1"/>
    <xf numFmtId="0" fontId="0" fillId="0" borderId="0" xfId="0" quotePrefix="1"/>
    <xf numFmtId="0" fontId="3" fillId="2" borderId="1" xfId="1"/>
    <xf numFmtId="0" fontId="0" fillId="0" borderId="0" xfId="0" applyAlignment="1">
      <alignment horizontal="righ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16566</xdr:rowOff>
    </xdr:from>
    <xdr:to>
      <xdr:col>6</xdr:col>
      <xdr:colOff>179307</xdr:colOff>
      <xdr:row>34</xdr:row>
      <xdr:rowOff>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0337B-67DA-CF95-EF45-45508DD4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1"/>
          <a:ext cx="3823655" cy="5814994"/>
        </a:xfrm>
        <a:prstGeom prst="rect">
          <a:avLst/>
        </a:prstGeom>
      </xdr:spPr>
    </xdr:pic>
    <xdr:clientData/>
  </xdr:twoCellAnchor>
  <xdr:twoCellAnchor editAs="oneCell">
    <xdr:from>
      <xdr:col>0</xdr:col>
      <xdr:colOff>53008</xdr:colOff>
      <xdr:row>34</xdr:row>
      <xdr:rowOff>21938</xdr:rowOff>
    </xdr:from>
    <xdr:to>
      <xdr:col>6</xdr:col>
      <xdr:colOff>288913</xdr:colOff>
      <xdr:row>44</xdr:row>
      <xdr:rowOff>33131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DAF90-1269-D687-3874-E0FEB312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08" y="6329973"/>
          <a:ext cx="3893505" cy="1866497"/>
        </a:xfrm>
        <a:prstGeom prst="rect">
          <a:avLst/>
        </a:prstGeom>
      </xdr:spPr>
    </xdr:pic>
    <xdr:clientData/>
  </xdr:twoCellAnchor>
  <xdr:twoCellAnchor editAs="oneCell">
    <xdr:from>
      <xdr:col>6</xdr:col>
      <xdr:colOff>437429</xdr:colOff>
      <xdr:row>1</xdr:row>
      <xdr:rowOff>104913</xdr:rowOff>
    </xdr:from>
    <xdr:to>
      <xdr:col>12</xdr:col>
      <xdr:colOff>461164</xdr:colOff>
      <xdr:row>26</xdr:row>
      <xdr:rowOff>46512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D21599-3F51-5595-7C34-E696E6B0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1777" y="287130"/>
          <a:ext cx="3668083" cy="4497034"/>
        </a:xfrm>
        <a:prstGeom prst="rect">
          <a:avLst/>
        </a:prstGeom>
      </xdr:spPr>
    </xdr:pic>
    <xdr:clientData/>
  </xdr:twoCellAnchor>
  <xdr:twoCellAnchor editAs="oneCell">
    <xdr:from>
      <xdr:col>13</xdr:col>
      <xdr:colOff>81603</xdr:colOff>
      <xdr:row>1</xdr:row>
      <xdr:rowOff>79513</xdr:rowOff>
    </xdr:from>
    <xdr:to>
      <xdr:col>18</xdr:col>
      <xdr:colOff>410816</xdr:colOff>
      <xdr:row>36</xdr:row>
      <xdr:rowOff>4011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B35751-46F6-76FD-2428-709F09F05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6403" y="265043"/>
          <a:ext cx="3377213" cy="64135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73D0-69C1-46D7-BE83-8AF62B2EC922}">
  <dimension ref="A1"/>
  <sheetViews>
    <sheetView topLeftCell="E3" zoomScale="129" zoomScaleNormal="115" workbookViewId="0">
      <selection activeCell="H42" sqref="H4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F268-9069-4DEC-AC81-C8F141969215}">
  <dimension ref="A1:H7"/>
  <sheetViews>
    <sheetView zoomScale="205" zoomScaleNormal="205" workbookViewId="0">
      <selection activeCell="F6" sqref="F6"/>
    </sheetView>
  </sheetViews>
  <sheetFormatPr defaultRowHeight="14.5" x14ac:dyDescent="0.35"/>
  <cols>
    <col min="1" max="1" width="9.54296875" bestFit="1" customWidth="1"/>
    <col min="2" max="2" width="9.1796875" bestFit="1" customWidth="1"/>
    <col min="3" max="3" width="7.453125" bestFit="1" customWidth="1"/>
    <col min="4" max="4" width="6" bestFit="1" customWidth="1"/>
    <col min="5" max="5" width="7.453125" bestFit="1" customWidth="1"/>
    <col min="6" max="7" width="9.54296875" bestFit="1" customWidth="1"/>
    <col min="8" max="8" width="8.453125" bestFit="1" customWidth="1"/>
  </cols>
  <sheetData>
    <row r="1" spans="1:8" x14ac:dyDescent="0.35"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C2" t="s">
        <v>7</v>
      </c>
      <c r="D2" t="s">
        <v>8</v>
      </c>
      <c r="E2" t="s">
        <v>7</v>
      </c>
      <c r="F2" t="s">
        <v>9</v>
      </c>
      <c r="G2" t="s">
        <v>9</v>
      </c>
      <c r="H2" t="s">
        <v>8</v>
      </c>
    </row>
    <row r="3" spans="1:8" x14ac:dyDescent="0.35">
      <c r="A3" t="s">
        <v>10</v>
      </c>
      <c r="B3" t="s">
        <v>11</v>
      </c>
      <c r="C3" s="12">
        <v>11</v>
      </c>
      <c r="D3" s="12" t="s">
        <v>23</v>
      </c>
      <c r="E3">
        <f>C3+VLOOKUP(D3,national!C42:D47,2,FALSE)</f>
        <v>14</v>
      </c>
      <c r="F3">
        <f>VLOOKUP(C3,national!C2:D21,2,FALSE)</f>
        <v>0.18579999999999999</v>
      </c>
      <c r="G3">
        <f>VLOOKUP(E3,national!C22:D41,2,FALSE)</f>
        <v>0.4335</v>
      </c>
      <c r="H3" s="8">
        <f>G3/F3</f>
        <v>2.3331539289558667</v>
      </c>
    </row>
    <row r="4" spans="1:8" x14ac:dyDescent="0.35">
      <c r="H4" s="8"/>
    </row>
    <row r="5" spans="1:8" x14ac:dyDescent="0.35">
      <c r="A5" t="s">
        <v>13</v>
      </c>
      <c r="B5" t="s">
        <v>14</v>
      </c>
      <c r="C5" s="13" t="str">
        <f>VLOOKUP(MIN(guiberson!G2:G22), guiberson!G2:I22, 2, FALSE)</f>
        <v>E</v>
      </c>
      <c r="E5" s="13">
        <f>VLOOKUP(MIN(guiberson!G23:G45), guiberson!G23:I45, 2, FALSE)</f>
        <v>11</v>
      </c>
      <c r="F5">
        <f>VLOOKUP(MIN(guiberson!G2:G22), guiberson!G2:I22, 3, FALSE)</f>
        <v>0.17519999999999999</v>
      </c>
      <c r="G5">
        <f>VLOOKUP(MIN(guiberson!G23:G45), guiberson!G23:I45, 3, FALSE)</f>
        <v>0.3901</v>
      </c>
      <c r="H5" s="8">
        <f>G5/F5</f>
        <v>2.2265981735159817</v>
      </c>
    </row>
    <row r="6" spans="1:8" x14ac:dyDescent="0.35">
      <c r="A6" t="s">
        <v>13</v>
      </c>
      <c r="B6" t="s">
        <v>15</v>
      </c>
      <c r="C6">
        <f>VLOOKUP(MIN(kobe!G2:G21), kobe!G2:I21, 2, FALSE)</f>
        <v>10</v>
      </c>
      <c r="E6">
        <f>VLOOKUP(MIN(kobe!G22:G45), kobe!G22:I45, 2, FALSE)</f>
        <v>13</v>
      </c>
      <c r="F6">
        <f>VLOOKUP(MIN(kobe!G2:G21), kobe!G2:I21, 3, FALSE)</f>
        <v>0.17480000000000001</v>
      </c>
      <c r="G6">
        <f>VLOOKUP(MIN(kobe!G22:G45), kobe!G22:I45, 3, FALSE)</f>
        <v>0.40560000000000002</v>
      </c>
      <c r="H6" s="8">
        <f>G6/F6</f>
        <v>2.320366132723112</v>
      </c>
    </row>
    <row r="7" spans="1:8" x14ac:dyDescent="0.35">
      <c r="A7" t="s">
        <v>13</v>
      </c>
      <c r="B7" t="s">
        <v>16</v>
      </c>
      <c r="C7">
        <f>VLOOKUP(MIN(petrolift!G2:G12), petrolift!G2:I12, 2, FALSE)</f>
        <v>10</v>
      </c>
      <c r="E7">
        <f>VLOOKUP(MIN(petrolift!G13:H26), petrolift!G13:I26, 2, FALSE)</f>
        <v>14</v>
      </c>
      <c r="F7">
        <f>VLOOKUP(MIN(petrolift!G2:G12), petrolift!G2:I12, 3, FALSE)</f>
        <v>0.1835</v>
      </c>
      <c r="G7">
        <f>VLOOKUP(MIN(petrolift!G13:H26), petrolift!G13:I26, 3, FALSE)</f>
        <v>0.4093</v>
      </c>
      <c r="H7" s="8">
        <f t="shared" ref="H7" si="0">G7/F7</f>
        <v>2.2305177111716623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234D-F038-4B03-BA0A-86074373CD1E}">
  <dimension ref="A1:AB47"/>
  <sheetViews>
    <sheetView workbookViewId="0">
      <selection activeCell="F48" sqref="F48"/>
    </sheetView>
  </sheetViews>
  <sheetFormatPr defaultRowHeight="14.5" x14ac:dyDescent="0.35"/>
  <cols>
    <col min="1" max="1" width="7.54296875" bestFit="1" customWidth="1"/>
    <col min="2" max="2" width="6.1796875" bestFit="1" customWidth="1"/>
    <col min="3" max="3" width="7.453125" bestFit="1" customWidth="1"/>
    <col min="4" max="4" width="7" bestFit="1" customWidth="1"/>
    <col min="5" max="5" width="8.1796875" bestFit="1" customWidth="1"/>
    <col min="8" max="8" width="5.81640625" bestFit="1" customWidth="1"/>
    <col min="9" max="9" width="6.26953125" customWidth="1"/>
    <col min="10" max="13" width="6.453125" bestFit="1" customWidth="1"/>
    <col min="14" max="14" width="12" bestFit="1" customWidth="1"/>
    <col min="15" max="15" width="7.453125" bestFit="1" customWidth="1"/>
    <col min="16" max="16" width="8.453125" bestFit="1" customWidth="1"/>
    <col min="17" max="17" width="7.453125" bestFit="1" customWidth="1"/>
    <col min="18" max="18" width="8.453125" bestFit="1" customWidth="1"/>
    <col min="24" max="24" width="4.7265625" bestFit="1" customWidth="1"/>
    <col min="25" max="25" width="6.1796875" bestFit="1" customWidth="1"/>
    <col min="26" max="26" width="6" bestFit="1" customWidth="1"/>
  </cols>
  <sheetData>
    <row r="1" spans="1:28" x14ac:dyDescent="0.35">
      <c r="A1" t="s">
        <v>1</v>
      </c>
      <c r="B1" t="s">
        <v>17</v>
      </c>
      <c r="C1" t="s">
        <v>7</v>
      </c>
      <c r="D1" t="s">
        <v>18</v>
      </c>
      <c r="E1" t="s">
        <v>19</v>
      </c>
      <c r="O1" s="2"/>
      <c r="P1" s="3"/>
      <c r="Q1" s="2"/>
      <c r="R1" s="3"/>
      <c r="U1" s="4"/>
      <c r="V1" s="4"/>
      <c r="X1" s="5"/>
      <c r="AA1" s="4"/>
      <c r="AB1" s="4"/>
    </row>
    <row r="2" spans="1:28" x14ac:dyDescent="0.35">
      <c r="A2" t="s">
        <v>11</v>
      </c>
      <c r="B2" t="s">
        <v>2</v>
      </c>
      <c r="C2">
        <v>1</v>
      </c>
      <c r="D2">
        <v>5.5300000000000002E-2</v>
      </c>
      <c r="E2" s="1">
        <f>PI()*D2^2/4</f>
        <v>2.4018182695041026E-3</v>
      </c>
      <c r="H2" s="6"/>
      <c r="I2" s="6"/>
      <c r="J2" s="6"/>
      <c r="K2" s="6"/>
      <c r="L2" s="6"/>
      <c r="M2" s="6"/>
      <c r="O2" s="7"/>
      <c r="U2" s="6"/>
      <c r="V2" s="6"/>
      <c r="X2" s="5"/>
      <c r="AA2" s="8"/>
      <c r="AB2" s="8"/>
    </row>
    <row r="3" spans="1:28" x14ac:dyDescent="0.35">
      <c r="A3" t="s">
        <v>11</v>
      </c>
      <c r="B3" t="s">
        <v>2</v>
      </c>
      <c r="C3">
        <v>2</v>
      </c>
      <c r="D3">
        <v>6.2799999999999995E-2</v>
      </c>
      <c r="E3" s="1">
        <f t="shared" ref="E3:E41" si="0">PI()*D3^2/4</f>
        <v>3.0974846927333921E-3</v>
      </c>
      <c r="H3" s="6"/>
      <c r="I3" s="6"/>
      <c r="J3" s="6"/>
      <c r="K3" s="6"/>
      <c r="L3" s="6"/>
      <c r="M3" s="6"/>
      <c r="O3" s="7"/>
      <c r="U3" s="6"/>
      <c r="V3" s="6"/>
      <c r="X3" s="5"/>
      <c r="AA3" s="8"/>
      <c r="AB3" s="8"/>
    </row>
    <row r="4" spans="1:28" x14ac:dyDescent="0.35">
      <c r="A4" t="s">
        <v>11</v>
      </c>
      <c r="B4" t="s">
        <v>2</v>
      </c>
      <c r="C4">
        <v>3</v>
      </c>
      <c r="D4">
        <v>7.0499999999999993E-2</v>
      </c>
      <c r="E4" s="1">
        <f t="shared" si="0"/>
        <v>3.9036252216261666E-3</v>
      </c>
      <c r="H4" s="6"/>
      <c r="I4" s="6"/>
      <c r="J4" s="6"/>
      <c r="K4" s="6"/>
      <c r="L4" s="6"/>
      <c r="M4" s="6"/>
      <c r="O4" s="7"/>
      <c r="U4" s="6"/>
      <c r="V4" s="6"/>
      <c r="X4" s="5"/>
      <c r="AA4" s="8"/>
      <c r="AB4" s="8"/>
    </row>
    <row r="5" spans="1:28" x14ac:dyDescent="0.35">
      <c r="A5" t="s">
        <v>11</v>
      </c>
      <c r="B5" t="s">
        <v>2</v>
      </c>
      <c r="C5">
        <v>4</v>
      </c>
      <c r="D5">
        <v>7.9799999999999996E-2</v>
      </c>
      <c r="E5" s="1">
        <f t="shared" si="0"/>
        <v>5.0014469204414857E-3</v>
      </c>
      <c r="H5" s="6"/>
      <c r="I5" s="6"/>
      <c r="J5" s="6"/>
      <c r="K5" s="6"/>
      <c r="L5" s="6"/>
      <c r="M5" s="6"/>
      <c r="O5" s="7"/>
      <c r="U5" s="6"/>
      <c r="V5" s="6"/>
      <c r="X5" s="5"/>
      <c r="AA5" s="8"/>
      <c r="AB5" s="8"/>
    </row>
    <row r="6" spans="1:28" x14ac:dyDescent="0.35">
      <c r="A6" t="s">
        <v>11</v>
      </c>
      <c r="B6" t="s">
        <v>2</v>
      </c>
      <c r="C6">
        <v>5</v>
      </c>
      <c r="D6">
        <v>9.0300000000000005E-2</v>
      </c>
      <c r="E6" s="1">
        <f t="shared" si="0"/>
        <v>6.4042073101774994E-3</v>
      </c>
      <c r="H6" s="6"/>
      <c r="I6" s="6"/>
      <c r="J6" s="6"/>
      <c r="K6" s="6"/>
      <c r="L6" s="6"/>
      <c r="M6" s="6"/>
      <c r="O6" s="7"/>
      <c r="U6" s="6"/>
      <c r="V6" s="6"/>
      <c r="X6" s="5"/>
      <c r="AA6" s="8"/>
      <c r="AB6" s="8"/>
    </row>
    <row r="7" spans="1:28" x14ac:dyDescent="0.35">
      <c r="A7" t="s">
        <v>11</v>
      </c>
      <c r="B7" t="s">
        <v>2</v>
      </c>
      <c r="C7">
        <v>6</v>
      </c>
      <c r="D7">
        <v>0.1016</v>
      </c>
      <c r="E7" s="1">
        <f t="shared" si="0"/>
        <v>8.107319665559963E-3</v>
      </c>
      <c r="H7" s="6"/>
      <c r="I7" s="6"/>
      <c r="J7" s="6"/>
      <c r="K7" s="6"/>
      <c r="L7" s="6"/>
      <c r="M7" s="6"/>
      <c r="O7" s="7"/>
      <c r="U7" s="6"/>
      <c r="V7" s="6"/>
      <c r="X7" s="5"/>
      <c r="AA7" s="8"/>
      <c r="AB7" s="8"/>
    </row>
    <row r="8" spans="1:28" x14ac:dyDescent="0.35">
      <c r="A8" t="s">
        <v>11</v>
      </c>
      <c r="B8" t="s">
        <v>2</v>
      </c>
      <c r="C8">
        <v>7</v>
      </c>
      <c r="D8">
        <v>0.1145</v>
      </c>
      <c r="E8" s="1">
        <f t="shared" si="0"/>
        <v>1.0296766271681397E-2</v>
      </c>
      <c r="H8" s="6"/>
      <c r="I8" s="6"/>
      <c r="J8" s="6"/>
      <c r="K8" s="6"/>
      <c r="L8" s="6"/>
      <c r="M8" s="6"/>
      <c r="O8" s="7"/>
    </row>
    <row r="9" spans="1:28" x14ac:dyDescent="0.35">
      <c r="A9" t="s">
        <v>11</v>
      </c>
      <c r="B9" t="s">
        <v>2</v>
      </c>
      <c r="C9">
        <v>8</v>
      </c>
      <c r="D9">
        <v>0.12909999999999999</v>
      </c>
      <c r="E9" s="1">
        <f t="shared" si="0"/>
        <v>1.3090081963694223E-2</v>
      </c>
      <c r="H9" s="6"/>
      <c r="I9" s="6"/>
      <c r="J9" s="6"/>
      <c r="K9" s="6"/>
      <c r="L9" s="6"/>
      <c r="M9" s="6"/>
      <c r="O9" s="7"/>
    </row>
    <row r="10" spans="1:28" x14ac:dyDescent="0.35">
      <c r="A10" t="s">
        <v>11</v>
      </c>
      <c r="B10" t="s">
        <v>2</v>
      </c>
      <c r="C10">
        <v>9</v>
      </c>
      <c r="D10">
        <v>0.14580000000000001</v>
      </c>
      <c r="E10" s="1">
        <f t="shared" si="0"/>
        <v>1.6695711414164136E-2</v>
      </c>
      <c r="H10" s="6"/>
      <c r="I10" s="6"/>
      <c r="J10" s="6"/>
      <c r="K10" s="6"/>
      <c r="L10" s="6"/>
      <c r="M10" s="6"/>
      <c r="O10" s="7"/>
    </row>
    <row r="11" spans="1:28" x14ac:dyDescent="0.35">
      <c r="A11" t="s">
        <v>11</v>
      </c>
      <c r="B11" t="s">
        <v>2</v>
      </c>
      <c r="C11">
        <v>10</v>
      </c>
      <c r="D11">
        <v>0.1643</v>
      </c>
      <c r="E11" s="1">
        <f t="shared" si="0"/>
        <v>2.1201422867850782E-2</v>
      </c>
      <c r="H11" s="6"/>
      <c r="I11" s="6"/>
      <c r="J11" s="6"/>
      <c r="K11" s="6"/>
      <c r="L11" s="6"/>
      <c r="M11" s="6"/>
      <c r="O11" s="7"/>
    </row>
    <row r="12" spans="1:28" x14ac:dyDescent="0.35">
      <c r="A12" t="s">
        <v>11</v>
      </c>
      <c r="B12" t="s">
        <v>2</v>
      </c>
      <c r="C12">
        <v>11</v>
      </c>
      <c r="D12">
        <v>0.18579999999999999</v>
      </c>
      <c r="E12" s="1">
        <f t="shared" si="0"/>
        <v>2.7113232653467885E-2</v>
      </c>
      <c r="H12" s="6"/>
      <c r="I12" s="6"/>
      <c r="J12" s="6"/>
      <c r="K12" s="6"/>
      <c r="L12" s="6"/>
      <c r="M12" s="6"/>
      <c r="O12" s="7"/>
    </row>
    <row r="13" spans="1:28" x14ac:dyDescent="0.35">
      <c r="A13" t="s">
        <v>11</v>
      </c>
      <c r="B13" t="s">
        <v>2</v>
      </c>
      <c r="C13">
        <v>12</v>
      </c>
      <c r="D13">
        <v>0.2099</v>
      </c>
      <c r="E13" s="1">
        <f t="shared" si="0"/>
        <v>3.4603080136946414E-2</v>
      </c>
      <c r="H13" s="6"/>
      <c r="I13" s="6"/>
      <c r="J13" s="6"/>
      <c r="K13" s="6"/>
      <c r="L13" s="6"/>
      <c r="M13" s="6"/>
      <c r="O13" s="7"/>
    </row>
    <row r="14" spans="1:28" x14ac:dyDescent="0.35">
      <c r="A14" t="s">
        <v>11</v>
      </c>
      <c r="B14" t="s">
        <v>2</v>
      </c>
      <c r="C14">
        <v>13</v>
      </c>
      <c r="D14">
        <v>0.23699999999999999</v>
      </c>
      <c r="E14" s="1">
        <f t="shared" si="0"/>
        <v>4.4115029439871271E-2</v>
      </c>
      <c r="H14" s="6"/>
      <c r="I14" s="6"/>
      <c r="J14" s="9"/>
      <c r="K14" s="6"/>
      <c r="L14" s="6"/>
      <c r="M14" s="6"/>
      <c r="O14" s="7"/>
    </row>
    <row r="15" spans="1:28" x14ac:dyDescent="0.35">
      <c r="A15" t="s">
        <v>11</v>
      </c>
      <c r="B15" t="s">
        <v>2</v>
      </c>
      <c r="C15">
        <v>14</v>
      </c>
      <c r="D15">
        <v>0.26750000000000002</v>
      </c>
      <c r="E15" s="1">
        <f t="shared" si="0"/>
        <v>5.6200147329608659E-2</v>
      </c>
      <c r="H15" s="6"/>
      <c r="I15" s="6"/>
      <c r="J15" s="6"/>
      <c r="K15" s="6"/>
      <c r="L15" s="6"/>
      <c r="M15" s="6"/>
      <c r="O15" s="7"/>
    </row>
    <row r="16" spans="1:28" x14ac:dyDescent="0.35">
      <c r="A16" t="s">
        <v>11</v>
      </c>
      <c r="B16" t="s">
        <v>2</v>
      </c>
      <c r="C16">
        <v>15</v>
      </c>
      <c r="D16">
        <v>0.30170000000000002</v>
      </c>
      <c r="E16" s="1">
        <f t="shared" si="0"/>
        <v>7.1489210633127964E-2</v>
      </c>
      <c r="H16" s="6"/>
      <c r="I16" s="6"/>
      <c r="J16" s="6"/>
      <c r="K16" s="6"/>
      <c r="L16" s="6"/>
      <c r="M16" s="6"/>
      <c r="O16" s="7"/>
    </row>
    <row r="17" spans="1:15" x14ac:dyDescent="0.35">
      <c r="A17" t="s">
        <v>11</v>
      </c>
      <c r="B17" t="s">
        <v>2</v>
      </c>
      <c r="C17">
        <v>16</v>
      </c>
      <c r="D17">
        <v>0.34039999999999998</v>
      </c>
      <c r="E17" s="1">
        <f t="shared" si="0"/>
        <v>9.100578165289526E-2</v>
      </c>
      <c r="H17" s="6"/>
      <c r="I17" s="6"/>
      <c r="J17" s="6"/>
      <c r="K17" s="6"/>
      <c r="L17" s="6"/>
      <c r="M17" s="6"/>
      <c r="O17" s="7"/>
    </row>
    <row r="18" spans="1:15" x14ac:dyDescent="0.35">
      <c r="A18" t="s">
        <v>11</v>
      </c>
      <c r="B18" t="s">
        <v>2</v>
      </c>
      <c r="C18">
        <v>17</v>
      </c>
      <c r="D18">
        <v>0.3841</v>
      </c>
      <c r="E18" s="1">
        <f t="shared" si="0"/>
        <v>0.11587199801486468</v>
      </c>
      <c r="H18" s="6"/>
      <c r="I18" s="6"/>
      <c r="J18" s="6"/>
      <c r="K18" s="6"/>
      <c r="L18" s="6"/>
      <c r="M18" s="10"/>
      <c r="O18" s="7"/>
    </row>
    <row r="19" spans="1:15" x14ac:dyDescent="0.35">
      <c r="A19" t="s">
        <v>11</v>
      </c>
      <c r="B19" t="s">
        <v>2</v>
      </c>
      <c r="C19">
        <v>18</v>
      </c>
      <c r="D19">
        <v>0.4335</v>
      </c>
      <c r="E19" s="1">
        <f t="shared" si="0"/>
        <v>0.14759379001151612</v>
      </c>
      <c r="H19" s="6"/>
      <c r="I19" s="6"/>
      <c r="J19" s="6"/>
      <c r="K19" s="6"/>
      <c r="L19" s="10"/>
      <c r="M19" s="10"/>
      <c r="O19" s="7"/>
    </row>
    <row r="20" spans="1:15" x14ac:dyDescent="0.35">
      <c r="A20" t="s">
        <v>11</v>
      </c>
      <c r="B20" t="s">
        <v>2</v>
      </c>
      <c r="C20">
        <v>19</v>
      </c>
      <c r="D20">
        <v>0.49809999999999999</v>
      </c>
      <c r="E20" s="1">
        <f t="shared" si="0"/>
        <v>0.19486011962627675</v>
      </c>
      <c r="H20" s="6"/>
      <c r="I20" s="6"/>
      <c r="J20" s="6"/>
      <c r="K20" s="10"/>
      <c r="L20" s="10"/>
      <c r="M20" s="10"/>
      <c r="O20" s="7"/>
    </row>
    <row r="21" spans="1:15" x14ac:dyDescent="0.35">
      <c r="A21" t="s">
        <v>11</v>
      </c>
      <c r="B21" t="s">
        <v>2</v>
      </c>
      <c r="C21">
        <v>20</v>
      </c>
      <c r="D21">
        <v>0.55189999999999995</v>
      </c>
      <c r="E21" s="1">
        <f t="shared" si="0"/>
        <v>0.2392272618765986</v>
      </c>
      <c r="H21" s="6"/>
      <c r="I21" s="6"/>
      <c r="J21" s="10"/>
      <c r="K21" s="10"/>
      <c r="L21" s="10"/>
      <c r="M21" s="10"/>
      <c r="O21" s="7"/>
    </row>
    <row r="22" spans="1:15" x14ac:dyDescent="0.35">
      <c r="A22" t="s">
        <v>11</v>
      </c>
      <c r="B22" t="s">
        <v>3</v>
      </c>
      <c r="C22">
        <v>1</v>
      </c>
      <c r="D22">
        <v>9.0300000000000005E-2</v>
      </c>
      <c r="E22" s="1">
        <f t="shared" si="0"/>
        <v>6.4042073101774994E-3</v>
      </c>
    </row>
    <row r="23" spans="1:15" x14ac:dyDescent="0.35">
      <c r="A23" t="s">
        <v>11</v>
      </c>
      <c r="B23" t="s">
        <v>3</v>
      </c>
      <c r="C23">
        <v>2</v>
      </c>
      <c r="D23">
        <v>0.1016</v>
      </c>
      <c r="E23" s="1">
        <f t="shared" si="0"/>
        <v>8.107319665559963E-3</v>
      </c>
    </row>
    <row r="24" spans="1:15" x14ac:dyDescent="0.35">
      <c r="A24" t="s">
        <v>11</v>
      </c>
      <c r="B24" t="s">
        <v>3</v>
      </c>
      <c r="C24">
        <v>3</v>
      </c>
      <c r="D24">
        <v>0.11509999999999999</v>
      </c>
      <c r="E24" s="1">
        <f t="shared" si="0"/>
        <v>1.0404962722671027E-2</v>
      </c>
    </row>
    <row r="25" spans="1:15" x14ac:dyDescent="0.35">
      <c r="A25" t="s">
        <v>11</v>
      </c>
      <c r="B25" t="s">
        <v>3</v>
      </c>
      <c r="C25">
        <v>4</v>
      </c>
      <c r="D25">
        <v>0.12909999999999999</v>
      </c>
      <c r="E25" s="1">
        <f t="shared" si="0"/>
        <v>1.3090081963694223E-2</v>
      </c>
    </row>
    <row r="26" spans="1:15" x14ac:dyDescent="0.35">
      <c r="A26" t="s">
        <v>11</v>
      </c>
      <c r="B26" t="s">
        <v>3</v>
      </c>
      <c r="C26">
        <v>5</v>
      </c>
      <c r="D26">
        <v>0.14580000000000001</v>
      </c>
      <c r="E26" s="1">
        <f t="shared" si="0"/>
        <v>1.6695711414164136E-2</v>
      </c>
    </row>
    <row r="27" spans="1:15" x14ac:dyDescent="0.35">
      <c r="A27" t="s">
        <v>11</v>
      </c>
      <c r="B27" t="s">
        <v>3</v>
      </c>
      <c r="C27">
        <v>6</v>
      </c>
      <c r="D27">
        <v>0.1643</v>
      </c>
      <c r="E27" s="1">
        <f t="shared" si="0"/>
        <v>2.1201422867850782E-2</v>
      </c>
    </row>
    <row r="28" spans="1:15" x14ac:dyDescent="0.35">
      <c r="A28" t="s">
        <v>11</v>
      </c>
      <c r="B28" t="s">
        <v>3</v>
      </c>
      <c r="C28">
        <v>7</v>
      </c>
      <c r="D28">
        <v>0.18579999999999999</v>
      </c>
      <c r="E28" s="1">
        <f t="shared" si="0"/>
        <v>2.7113232653467885E-2</v>
      </c>
    </row>
    <row r="29" spans="1:15" x14ac:dyDescent="0.35">
      <c r="A29" t="s">
        <v>11</v>
      </c>
      <c r="B29" t="s">
        <v>3</v>
      </c>
      <c r="C29">
        <v>8</v>
      </c>
      <c r="D29">
        <v>0.2099</v>
      </c>
      <c r="E29" s="1">
        <f t="shared" si="0"/>
        <v>3.4603080136946414E-2</v>
      </c>
    </row>
    <row r="30" spans="1:15" x14ac:dyDescent="0.35">
      <c r="A30" t="s">
        <v>11</v>
      </c>
      <c r="B30" t="s">
        <v>3</v>
      </c>
      <c r="C30">
        <v>9</v>
      </c>
      <c r="D30">
        <v>0.23699999999999999</v>
      </c>
      <c r="E30" s="1">
        <f t="shared" si="0"/>
        <v>4.4115029439871271E-2</v>
      </c>
    </row>
    <row r="31" spans="1:15" x14ac:dyDescent="0.35">
      <c r="A31" t="s">
        <v>11</v>
      </c>
      <c r="B31" t="s">
        <v>3</v>
      </c>
      <c r="C31">
        <v>10</v>
      </c>
      <c r="D31">
        <v>0.26750000000000002</v>
      </c>
      <c r="E31" s="1">
        <f t="shared" si="0"/>
        <v>5.6200147329608659E-2</v>
      </c>
    </row>
    <row r="32" spans="1:15" x14ac:dyDescent="0.35">
      <c r="A32" t="s">
        <v>11</v>
      </c>
      <c r="B32" t="s">
        <v>3</v>
      </c>
      <c r="C32">
        <v>11</v>
      </c>
      <c r="D32">
        <v>0.30170000000000002</v>
      </c>
      <c r="E32" s="1">
        <f t="shared" si="0"/>
        <v>7.1489210633127964E-2</v>
      </c>
    </row>
    <row r="33" spans="1:5" x14ac:dyDescent="0.35">
      <c r="A33" t="s">
        <v>11</v>
      </c>
      <c r="B33" t="s">
        <v>3</v>
      </c>
      <c r="C33">
        <v>12</v>
      </c>
      <c r="D33">
        <v>0.34039999999999998</v>
      </c>
      <c r="E33" s="1">
        <f t="shared" si="0"/>
        <v>9.100578165289526E-2</v>
      </c>
    </row>
    <row r="34" spans="1:5" x14ac:dyDescent="0.35">
      <c r="A34" t="s">
        <v>11</v>
      </c>
      <c r="B34" t="s">
        <v>3</v>
      </c>
      <c r="C34">
        <v>13</v>
      </c>
      <c r="D34">
        <v>0.3841</v>
      </c>
      <c r="E34" s="1">
        <f t="shared" si="0"/>
        <v>0.11587199801486468</v>
      </c>
    </row>
    <row r="35" spans="1:5" x14ac:dyDescent="0.35">
      <c r="A35" t="s">
        <v>11</v>
      </c>
      <c r="B35" t="s">
        <v>3</v>
      </c>
      <c r="C35">
        <v>14</v>
      </c>
      <c r="D35">
        <v>0.4335</v>
      </c>
      <c r="E35" s="1">
        <f t="shared" si="0"/>
        <v>0.14759379001151612</v>
      </c>
    </row>
    <row r="36" spans="1:5" x14ac:dyDescent="0.35">
      <c r="A36" t="s">
        <v>11</v>
      </c>
      <c r="B36" t="s">
        <v>3</v>
      </c>
      <c r="C36">
        <v>15</v>
      </c>
      <c r="D36">
        <v>0.49809999999999999</v>
      </c>
      <c r="E36" s="1">
        <f t="shared" si="0"/>
        <v>0.19486011962627675</v>
      </c>
    </row>
    <row r="37" spans="1:5" x14ac:dyDescent="0.35">
      <c r="A37" t="s">
        <v>11</v>
      </c>
      <c r="B37" t="s">
        <v>3</v>
      </c>
      <c r="C37">
        <v>16</v>
      </c>
      <c r="D37">
        <v>0.55189999999999995</v>
      </c>
      <c r="E37" s="1">
        <f t="shared" si="0"/>
        <v>0.2392272618765986</v>
      </c>
    </row>
    <row r="38" spans="1:5" x14ac:dyDescent="0.35">
      <c r="A38" t="s">
        <v>11</v>
      </c>
      <c r="B38" t="s">
        <v>3</v>
      </c>
      <c r="C38">
        <v>17</v>
      </c>
      <c r="D38">
        <v>0.62280000000000002</v>
      </c>
      <c r="E38" s="1">
        <f t="shared" si="0"/>
        <v>0.3046401139548961</v>
      </c>
    </row>
    <row r="39" spans="1:5" x14ac:dyDescent="0.35">
      <c r="A39" t="s">
        <v>11</v>
      </c>
      <c r="B39" t="s">
        <v>3</v>
      </c>
      <c r="C39">
        <v>18</v>
      </c>
      <c r="D39">
        <v>0.70269999999999999</v>
      </c>
      <c r="E39" s="1">
        <f t="shared" si="0"/>
        <v>0.38781963067500319</v>
      </c>
    </row>
    <row r="40" spans="1:5" x14ac:dyDescent="0.35">
      <c r="A40" t="s">
        <v>11</v>
      </c>
      <c r="B40" t="s">
        <v>3</v>
      </c>
      <c r="C40">
        <v>19</v>
      </c>
      <c r="D40">
        <v>0.79290000000000005</v>
      </c>
      <c r="E40" s="1">
        <f t="shared" si="0"/>
        <v>0.49377229335958878</v>
      </c>
    </row>
    <row r="41" spans="1:5" x14ac:dyDescent="0.35">
      <c r="A41" t="s">
        <v>11</v>
      </c>
      <c r="B41" t="s">
        <v>3</v>
      </c>
      <c r="C41">
        <v>20</v>
      </c>
      <c r="D41">
        <v>0.89470000000000005</v>
      </c>
      <c r="E41" s="1">
        <f t="shared" si="0"/>
        <v>0.62870187570753133</v>
      </c>
    </row>
    <row r="42" spans="1:5" x14ac:dyDescent="0.35">
      <c r="A42" t="s">
        <v>11</v>
      </c>
      <c r="B42" t="s">
        <v>8</v>
      </c>
      <c r="C42" t="s">
        <v>20</v>
      </c>
      <c r="D42">
        <v>-1</v>
      </c>
      <c r="E42" s="1"/>
    </row>
    <row r="43" spans="1:5" x14ac:dyDescent="0.35">
      <c r="A43" t="s">
        <v>11</v>
      </c>
      <c r="B43" t="s">
        <v>8</v>
      </c>
      <c r="C43" t="s">
        <v>21</v>
      </c>
      <c r="D43">
        <v>0</v>
      </c>
      <c r="E43" s="1"/>
    </row>
    <row r="44" spans="1:5" x14ac:dyDescent="0.35">
      <c r="A44" t="s">
        <v>11</v>
      </c>
      <c r="B44" t="s">
        <v>8</v>
      </c>
      <c r="C44" t="s">
        <v>12</v>
      </c>
      <c r="D44">
        <v>1</v>
      </c>
      <c r="E44" s="1"/>
    </row>
    <row r="45" spans="1:5" x14ac:dyDescent="0.35">
      <c r="A45" t="s">
        <v>11</v>
      </c>
      <c r="B45" t="s">
        <v>8</v>
      </c>
      <c r="C45" t="s">
        <v>22</v>
      </c>
      <c r="D45">
        <v>2</v>
      </c>
      <c r="E45" s="1"/>
    </row>
    <row r="46" spans="1:5" x14ac:dyDescent="0.35">
      <c r="A46" t="s">
        <v>11</v>
      </c>
      <c r="B46" t="s">
        <v>8</v>
      </c>
      <c r="C46" t="s">
        <v>23</v>
      </c>
      <c r="D46">
        <v>3</v>
      </c>
      <c r="E46" s="1"/>
    </row>
    <row r="47" spans="1:5" x14ac:dyDescent="0.35">
      <c r="A47" t="s">
        <v>11</v>
      </c>
      <c r="B47" t="s">
        <v>8</v>
      </c>
      <c r="C47" t="s">
        <v>24</v>
      </c>
      <c r="D47">
        <v>4</v>
      </c>
      <c r="E47" s="1"/>
    </row>
  </sheetData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CB14-CF8E-4939-ABA1-37BB9EC87241}">
  <dimension ref="A1:I45"/>
  <sheetViews>
    <sheetView tabSelected="1" workbookViewId="0">
      <selection activeCell="H2" sqref="H2"/>
    </sheetView>
  </sheetViews>
  <sheetFormatPr defaultRowHeight="14.5" x14ac:dyDescent="0.35"/>
  <cols>
    <col min="1" max="1" width="9.1796875" bestFit="1" customWidth="1"/>
    <col min="2" max="2" width="6.1796875" bestFit="1" customWidth="1"/>
    <col min="3" max="3" width="7.453125" bestFit="1" customWidth="1"/>
    <col min="4" max="4" width="6.81640625" bestFit="1" customWidth="1"/>
    <col min="5" max="5" width="8.1796875" bestFit="1" customWidth="1"/>
    <col min="8" max="8" width="7.453125" bestFit="1" customWidth="1"/>
  </cols>
  <sheetData>
    <row r="1" spans="1:9" x14ac:dyDescent="0.35">
      <c r="A1" t="s">
        <v>1</v>
      </c>
      <c r="B1" t="s">
        <v>17</v>
      </c>
      <c r="C1" t="s">
        <v>7</v>
      </c>
      <c r="D1" t="s">
        <v>18</v>
      </c>
      <c r="E1" t="s">
        <v>19</v>
      </c>
      <c r="F1" t="s">
        <v>25</v>
      </c>
      <c r="G1" t="s">
        <v>26</v>
      </c>
      <c r="H1" t="s">
        <v>7</v>
      </c>
      <c r="I1" t="s">
        <v>18</v>
      </c>
    </row>
    <row r="2" spans="1:9" x14ac:dyDescent="0.35">
      <c r="A2" t="s">
        <v>14</v>
      </c>
      <c r="B2" t="s">
        <v>2</v>
      </c>
      <c r="C2" t="s">
        <v>27</v>
      </c>
      <c r="D2">
        <v>4.5100000000000001E-2</v>
      </c>
      <c r="E2" s="1">
        <f>PI()*D2^2/4</f>
        <v>1.597507718332044E-3</v>
      </c>
      <c r="G2" s="6">
        <f>ABS(selection!$F$3-guiberson!D2)</f>
        <v>0.14069999999999999</v>
      </c>
      <c r="H2" t="str">
        <f>C2</f>
        <v>DD</v>
      </c>
      <c r="I2">
        <f>D2</f>
        <v>4.5100000000000001E-2</v>
      </c>
    </row>
    <row r="3" spans="1:9" x14ac:dyDescent="0.35">
      <c r="A3" t="s">
        <v>14</v>
      </c>
      <c r="B3" t="s">
        <v>2</v>
      </c>
      <c r="C3" t="s">
        <v>28</v>
      </c>
      <c r="D3">
        <v>5.9700000000000003E-2</v>
      </c>
      <c r="E3" s="1">
        <f t="shared" ref="E3:E45" si="0">PI()*D3^2/4</f>
        <v>2.7992297401832115E-3</v>
      </c>
      <c r="G3" s="6">
        <f>ABS(selection!$F$3-guiberson!D3)</f>
        <v>0.12609999999999999</v>
      </c>
      <c r="H3" t="str">
        <f t="shared" ref="H2:H45" si="1">C3</f>
        <v>CC</v>
      </c>
      <c r="I3">
        <f t="shared" ref="I3:I45" si="2">D3</f>
        <v>5.9700000000000003E-2</v>
      </c>
    </row>
    <row r="4" spans="1:9" x14ac:dyDescent="0.35">
      <c r="A4" t="s">
        <v>14</v>
      </c>
      <c r="B4" t="s">
        <v>2</v>
      </c>
      <c r="C4" t="s">
        <v>29</v>
      </c>
      <c r="D4">
        <v>6.9599999999999995E-2</v>
      </c>
      <c r="E4" s="1">
        <f t="shared" si="0"/>
        <v>3.8045943672033824E-3</v>
      </c>
      <c r="G4" s="6">
        <f>ABS(selection!$F$3-guiberson!D4)</f>
        <v>0.1162</v>
      </c>
      <c r="H4" t="str">
        <f t="shared" si="1"/>
        <v>BB</v>
      </c>
      <c r="I4">
        <f t="shared" si="2"/>
        <v>6.9599999999999995E-2</v>
      </c>
    </row>
    <row r="5" spans="1:9" x14ac:dyDescent="0.35">
      <c r="A5" t="s">
        <v>14</v>
      </c>
      <c r="B5" t="s">
        <v>2</v>
      </c>
      <c r="C5" t="s">
        <v>21</v>
      </c>
      <c r="D5">
        <v>8.3699999999999997E-2</v>
      </c>
      <c r="E5" s="1">
        <f t="shared" si="0"/>
        <v>5.5022560593318689E-3</v>
      </c>
      <c r="G5" s="6">
        <f>ABS(selection!$F$3-guiberson!D5)</f>
        <v>0.1021</v>
      </c>
      <c r="H5" t="str">
        <f t="shared" si="1"/>
        <v>A</v>
      </c>
      <c r="I5">
        <f t="shared" si="2"/>
        <v>8.3699999999999997E-2</v>
      </c>
    </row>
    <row r="6" spans="1:9" x14ac:dyDescent="0.35">
      <c r="A6" t="s">
        <v>14</v>
      </c>
      <c r="B6" t="s">
        <v>2</v>
      </c>
      <c r="C6" t="s">
        <v>30</v>
      </c>
      <c r="D6">
        <v>9.5699999999999993E-2</v>
      </c>
      <c r="E6" s="1">
        <f t="shared" si="0"/>
        <v>7.193061225493895E-3</v>
      </c>
      <c r="G6" s="6">
        <f>ABS(selection!$F$3-guiberson!D6)</f>
        <v>9.01E-2</v>
      </c>
      <c r="H6" t="str">
        <f t="shared" si="1"/>
        <v>A+</v>
      </c>
      <c r="I6">
        <f t="shared" si="2"/>
        <v>9.5699999999999993E-2</v>
      </c>
    </row>
    <row r="7" spans="1:9" x14ac:dyDescent="0.35">
      <c r="A7" t="s">
        <v>14</v>
      </c>
      <c r="B7" t="s">
        <v>2</v>
      </c>
      <c r="C7" t="s">
        <v>12</v>
      </c>
      <c r="D7">
        <v>0.11</v>
      </c>
      <c r="E7" s="1">
        <f t="shared" si="0"/>
        <v>9.5033177771091243E-3</v>
      </c>
      <c r="G7" s="6">
        <f>ABS(selection!$F$3-guiberson!D7)</f>
        <v>7.5799999999999992E-2</v>
      </c>
      <c r="H7" t="str">
        <f t="shared" si="1"/>
        <v>B</v>
      </c>
      <c r="I7">
        <f t="shared" si="2"/>
        <v>0.11</v>
      </c>
    </row>
    <row r="8" spans="1:9" x14ac:dyDescent="0.35">
      <c r="A8" t="s">
        <v>14</v>
      </c>
      <c r="B8" t="s">
        <v>2</v>
      </c>
      <c r="C8" t="s">
        <v>31</v>
      </c>
      <c r="D8">
        <v>0.1162</v>
      </c>
      <c r="E8" s="1">
        <f t="shared" si="0"/>
        <v>1.0604791577384242E-2</v>
      </c>
      <c r="G8" s="6">
        <f>ABS(selection!$F$3-guiberson!D8)</f>
        <v>6.9599999999999995E-2</v>
      </c>
      <c r="H8" t="str">
        <f t="shared" si="1"/>
        <v>B+</v>
      </c>
      <c r="I8">
        <f t="shared" si="2"/>
        <v>0.1162</v>
      </c>
    </row>
    <row r="9" spans="1:9" x14ac:dyDescent="0.35">
      <c r="A9" t="s">
        <v>14</v>
      </c>
      <c r="B9" t="s">
        <v>2</v>
      </c>
      <c r="C9" t="s">
        <v>22</v>
      </c>
      <c r="D9">
        <v>0.12509999999999999</v>
      </c>
      <c r="E9" s="1">
        <f t="shared" si="0"/>
        <v>1.2291489111151698E-2</v>
      </c>
      <c r="G9" s="6">
        <f>ABS(selection!$F$3-guiberson!D9)</f>
        <v>6.0700000000000004E-2</v>
      </c>
      <c r="H9" t="str">
        <f t="shared" si="1"/>
        <v>C</v>
      </c>
      <c r="I9">
        <f t="shared" si="2"/>
        <v>0.12509999999999999</v>
      </c>
    </row>
    <row r="10" spans="1:9" x14ac:dyDescent="0.35">
      <c r="A10" t="s">
        <v>14</v>
      </c>
      <c r="B10" t="s">
        <v>2</v>
      </c>
      <c r="C10" t="s">
        <v>32</v>
      </c>
      <c r="D10">
        <v>0.13589999999999999</v>
      </c>
      <c r="E10" s="1">
        <f t="shared" si="0"/>
        <v>1.4505369454136425E-2</v>
      </c>
      <c r="G10" s="6">
        <f>ABS(selection!$F$3-guiberson!D10)</f>
        <v>4.99E-2</v>
      </c>
      <c r="H10" t="str">
        <f t="shared" si="1"/>
        <v>C+</v>
      </c>
      <c r="I10">
        <f t="shared" si="2"/>
        <v>0.13589999999999999</v>
      </c>
    </row>
    <row r="11" spans="1:9" x14ac:dyDescent="0.35">
      <c r="A11" t="s">
        <v>14</v>
      </c>
      <c r="B11" t="s">
        <v>2</v>
      </c>
      <c r="C11" t="s">
        <v>23</v>
      </c>
      <c r="D11">
        <v>0.15010000000000001</v>
      </c>
      <c r="E11" s="1">
        <f t="shared" si="0"/>
        <v>1.7695028475326145E-2</v>
      </c>
      <c r="G11" s="6">
        <f>ABS(selection!$F$3-guiberson!D11)</f>
        <v>3.5699999999999982E-2</v>
      </c>
      <c r="H11" t="str">
        <f t="shared" si="1"/>
        <v>D</v>
      </c>
      <c r="I11">
        <f t="shared" si="2"/>
        <v>0.15010000000000001</v>
      </c>
    </row>
    <row r="12" spans="1:9" x14ac:dyDescent="0.35">
      <c r="A12" t="s">
        <v>14</v>
      </c>
      <c r="B12" t="s">
        <v>2</v>
      </c>
      <c r="C12" t="s">
        <v>24</v>
      </c>
      <c r="D12">
        <v>0.17519999999999999</v>
      </c>
      <c r="E12" s="1">
        <f t="shared" si="0"/>
        <v>2.4107828041411209E-2</v>
      </c>
      <c r="G12" s="6">
        <f>ABS(selection!$F$3-guiberson!D12)</f>
        <v>1.0599999999999998E-2</v>
      </c>
      <c r="H12" t="str">
        <f t="shared" si="1"/>
        <v>E</v>
      </c>
      <c r="I12">
        <f t="shared" si="2"/>
        <v>0.17519999999999999</v>
      </c>
    </row>
    <row r="13" spans="1:9" x14ac:dyDescent="0.35">
      <c r="A13" t="s">
        <v>14</v>
      </c>
      <c r="B13" t="s">
        <v>2</v>
      </c>
      <c r="C13" t="s">
        <v>33</v>
      </c>
      <c r="D13">
        <v>0.19989999999999999</v>
      </c>
      <c r="E13" s="1">
        <f t="shared" si="0"/>
        <v>3.1384518463343662E-2</v>
      </c>
      <c r="G13" s="6">
        <f>ABS(selection!$F$3-guiberson!D13)</f>
        <v>1.4100000000000001E-2</v>
      </c>
      <c r="H13" t="str">
        <f t="shared" si="1"/>
        <v>F</v>
      </c>
      <c r="I13">
        <f t="shared" si="2"/>
        <v>0.19989999999999999</v>
      </c>
    </row>
    <row r="14" spans="1:9" x14ac:dyDescent="0.35">
      <c r="A14" t="s">
        <v>14</v>
      </c>
      <c r="B14" t="s">
        <v>2</v>
      </c>
      <c r="C14" t="s">
        <v>34</v>
      </c>
      <c r="D14">
        <v>0.2399</v>
      </c>
      <c r="E14" s="1">
        <f t="shared" si="0"/>
        <v>4.5201242953831579E-2</v>
      </c>
      <c r="G14" s="6">
        <f>ABS(selection!$F$3-guiberson!D14)</f>
        <v>5.4100000000000009E-2</v>
      </c>
      <c r="H14" t="str">
        <f t="shared" si="1"/>
        <v>G</v>
      </c>
      <c r="I14">
        <f t="shared" si="2"/>
        <v>0.2399</v>
      </c>
    </row>
    <row r="15" spans="1:9" x14ac:dyDescent="0.35">
      <c r="A15" t="s">
        <v>14</v>
      </c>
      <c r="B15" t="s">
        <v>2</v>
      </c>
      <c r="C15" t="s">
        <v>35</v>
      </c>
      <c r="D15">
        <v>0.29010000000000002</v>
      </c>
      <c r="E15" s="1">
        <f t="shared" si="0"/>
        <v>6.6097546489184103E-2</v>
      </c>
      <c r="G15" s="6">
        <f>ABS(selection!$F$3-guiberson!D15)</f>
        <v>0.10430000000000003</v>
      </c>
      <c r="H15" t="str">
        <f t="shared" si="1"/>
        <v>H</v>
      </c>
      <c r="I15">
        <f t="shared" si="2"/>
        <v>0.29010000000000002</v>
      </c>
    </row>
    <row r="16" spans="1:9" x14ac:dyDescent="0.35">
      <c r="A16" t="s">
        <v>14</v>
      </c>
      <c r="B16" t="s">
        <v>2</v>
      </c>
      <c r="C16" t="s">
        <v>36</v>
      </c>
      <c r="D16">
        <v>0.32990000000000003</v>
      </c>
      <c r="E16" s="1">
        <f t="shared" si="0"/>
        <v>8.5478031569179533E-2</v>
      </c>
      <c r="G16" s="6">
        <f>ABS(selection!$F$3-guiberson!D16)</f>
        <v>0.14410000000000003</v>
      </c>
      <c r="H16" t="str">
        <f t="shared" si="1"/>
        <v>I</v>
      </c>
      <c r="I16">
        <f t="shared" si="2"/>
        <v>0.32990000000000003</v>
      </c>
    </row>
    <row r="17" spans="1:9" x14ac:dyDescent="0.35">
      <c r="A17" t="s">
        <v>14</v>
      </c>
      <c r="B17" t="s">
        <v>2</v>
      </c>
      <c r="C17" t="s">
        <v>37</v>
      </c>
      <c r="D17">
        <v>0.40010000000000001</v>
      </c>
      <c r="E17" s="1">
        <f t="shared" si="0"/>
        <v>0.12572654585064516</v>
      </c>
      <c r="G17" s="6">
        <f>ABS(selection!$F$3-guiberson!D17)</f>
        <v>0.21430000000000002</v>
      </c>
      <c r="H17" t="str">
        <f t="shared" si="1"/>
        <v>J</v>
      </c>
      <c r="I17">
        <f t="shared" si="2"/>
        <v>0.40010000000000001</v>
      </c>
    </row>
    <row r="18" spans="1:9" x14ac:dyDescent="0.35">
      <c r="A18" t="s">
        <v>14</v>
      </c>
      <c r="B18" t="s">
        <v>2</v>
      </c>
      <c r="C18" t="s">
        <v>38</v>
      </c>
      <c r="D18">
        <v>0.44990000000000002</v>
      </c>
      <c r="E18" s="1">
        <f t="shared" si="0"/>
        <v>0.15897245010725916</v>
      </c>
      <c r="G18" s="6">
        <f>ABS(selection!$F$3-guiberson!D18)</f>
        <v>0.2641</v>
      </c>
      <c r="H18" t="str">
        <f t="shared" si="1"/>
        <v>K</v>
      </c>
      <c r="I18">
        <f t="shared" si="2"/>
        <v>0.44990000000000002</v>
      </c>
    </row>
    <row r="19" spans="1:9" x14ac:dyDescent="0.35">
      <c r="A19" t="s">
        <v>14</v>
      </c>
      <c r="B19" t="s">
        <v>2</v>
      </c>
      <c r="C19" t="s">
        <v>39</v>
      </c>
      <c r="D19">
        <v>0.49990000000000001</v>
      </c>
      <c r="E19" s="1">
        <f t="shared" si="0"/>
        <v>0.19627100888700397</v>
      </c>
      <c r="G19" s="6">
        <f>ABS(selection!$F$3-guiberson!D19)</f>
        <v>0.31410000000000005</v>
      </c>
      <c r="H19" t="str">
        <f t="shared" si="1"/>
        <v>L</v>
      </c>
      <c r="I19">
        <f t="shared" si="2"/>
        <v>0.49990000000000001</v>
      </c>
    </row>
    <row r="20" spans="1:9" x14ac:dyDescent="0.35">
      <c r="A20" t="s">
        <v>14</v>
      </c>
      <c r="B20" t="s">
        <v>2</v>
      </c>
      <c r="C20" t="s">
        <v>40</v>
      </c>
      <c r="D20">
        <v>0.56000000000000005</v>
      </c>
      <c r="E20" s="1">
        <f t="shared" si="0"/>
        <v>0.2463008640414398</v>
      </c>
      <c r="G20" s="6">
        <f>ABS(selection!$F$3-guiberson!D20)</f>
        <v>0.37420000000000009</v>
      </c>
      <c r="H20" t="str">
        <f t="shared" si="1"/>
        <v>M</v>
      </c>
      <c r="I20">
        <f t="shared" si="2"/>
        <v>0.56000000000000005</v>
      </c>
    </row>
    <row r="21" spans="1:9" x14ac:dyDescent="0.35">
      <c r="A21" t="s">
        <v>14</v>
      </c>
      <c r="B21" t="s">
        <v>2</v>
      </c>
      <c r="C21" t="s">
        <v>41</v>
      </c>
      <c r="D21">
        <v>0.63</v>
      </c>
      <c r="E21" s="1">
        <f t="shared" si="0"/>
        <v>0.31172453105244724</v>
      </c>
      <c r="G21" s="6">
        <f>ABS(selection!$F$3-guiberson!D21)</f>
        <v>0.44420000000000004</v>
      </c>
      <c r="H21" t="str">
        <f t="shared" si="1"/>
        <v>N</v>
      </c>
      <c r="I21">
        <f t="shared" si="2"/>
        <v>0.63</v>
      </c>
    </row>
    <row r="22" spans="1:9" x14ac:dyDescent="0.35">
      <c r="A22" t="s">
        <v>14</v>
      </c>
      <c r="B22" t="s">
        <v>2</v>
      </c>
      <c r="C22" t="s">
        <v>42</v>
      </c>
      <c r="D22">
        <v>0.7</v>
      </c>
      <c r="E22" s="1">
        <f t="shared" si="0"/>
        <v>0.38484510006474959</v>
      </c>
      <c r="G22" s="6">
        <f>ABS(selection!$F$3-guiberson!D22)</f>
        <v>0.51419999999999999</v>
      </c>
      <c r="H22" t="str">
        <f t="shared" si="1"/>
        <v>P</v>
      </c>
      <c r="I22">
        <f t="shared" si="2"/>
        <v>0.7</v>
      </c>
    </row>
    <row r="23" spans="1:9" x14ac:dyDescent="0.35">
      <c r="A23" t="s">
        <v>14</v>
      </c>
      <c r="B23" t="s">
        <v>3</v>
      </c>
      <c r="C23" s="11" t="s">
        <v>43</v>
      </c>
      <c r="D23">
        <v>7.4800000000000005E-2</v>
      </c>
      <c r="E23" s="1">
        <f t="shared" si="0"/>
        <v>4.3943341401352599E-3</v>
      </c>
      <c r="G23" s="6">
        <f>ABS(selection!$G$3-guiberson!D23)</f>
        <v>0.35870000000000002</v>
      </c>
      <c r="H23" t="str">
        <f t="shared" si="1"/>
        <v>000</v>
      </c>
      <c r="I23">
        <f t="shared" si="2"/>
        <v>7.4800000000000005E-2</v>
      </c>
    </row>
    <row r="24" spans="1:9" x14ac:dyDescent="0.35">
      <c r="A24" t="s">
        <v>14</v>
      </c>
      <c r="B24" t="s">
        <v>3</v>
      </c>
      <c r="C24" s="11" t="s">
        <v>44</v>
      </c>
      <c r="D24">
        <v>9.5100000000000004E-2</v>
      </c>
      <c r="E24" s="1">
        <f t="shared" si="0"/>
        <v>7.1031488437481565E-3</v>
      </c>
      <c r="G24" s="6">
        <f>ABS(selection!$G$3-guiberson!D24)</f>
        <v>0.33839999999999998</v>
      </c>
      <c r="H24" t="str">
        <f t="shared" si="1"/>
        <v>00</v>
      </c>
      <c r="I24">
        <f t="shared" si="2"/>
        <v>9.5100000000000004E-2</v>
      </c>
    </row>
    <row r="25" spans="1:9" x14ac:dyDescent="0.35">
      <c r="A25" t="s">
        <v>14</v>
      </c>
      <c r="B25" t="s">
        <v>3</v>
      </c>
      <c r="C25" s="11" t="s">
        <v>45</v>
      </c>
      <c r="D25">
        <v>0.11509999999999999</v>
      </c>
      <c r="E25" s="1">
        <f t="shared" si="0"/>
        <v>1.0404962722671027E-2</v>
      </c>
      <c r="G25" s="6">
        <f>ABS(selection!$G$3-guiberson!D25)</f>
        <v>0.31840000000000002</v>
      </c>
      <c r="H25" t="str">
        <f t="shared" si="1"/>
        <v>0</v>
      </c>
      <c r="I25">
        <f t="shared" si="2"/>
        <v>0.11509999999999999</v>
      </c>
    </row>
    <row r="26" spans="1:9" x14ac:dyDescent="0.35">
      <c r="A26" t="s">
        <v>14</v>
      </c>
      <c r="B26" t="s">
        <v>3</v>
      </c>
      <c r="C26">
        <v>1</v>
      </c>
      <c r="D26">
        <v>0.13489999999999999</v>
      </c>
      <c r="E26" s="1">
        <f t="shared" si="0"/>
        <v>1.4292683631488395E-2</v>
      </c>
      <c r="F26" s="8">
        <f>D26/selection!$F$5</f>
        <v>0.76997716894977164</v>
      </c>
      <c r="G26" s="6">
        <f>ABS(selection!$H$3-guiberson!F26)</f>
        <v>1.5631767600060951</v>
      </c>
      <c r="H26">
        <f t="shared" si="1"/>
        <v>1</v>
      </c>
      <c r="I26">
        <f t="shared" si="2"/>
        <v>0.13489999999999999</v>
      </c>
    </row>
    <row r="27" spans="1:9" x14ac:dyDescent="0.35">
      <c r="A27" t="s">
        <v>14</v>
      </c>
      <c r="B27" t="s">
        <v>3</v>
      </c>
      <c r="C27">
        <v>2</v>
      </c>
      <c r="D27">
        <v>0.15509999999999999</v>
      </c>
      <c r="E27" s="1">
        <f t="shared" si="0"/>
        <v>1.8893546072670648E-2</v>
      </c>
      <c r="F27" s="8">
        <f>D27/selection!$F$5</f>
        <v>0.88527397260273966</v>
      </c>
      <c r="G27" s="6">
        <f>ABS(selection!$H$3-guiberson!F27)</f>
        <v>1.4478799563531271</v>
      </c>
      <c r="H27">
        <f t="shared" si="1"/>
        <v>2</v>
      </c>
      <c r="I27">
        <f t="shared" si="2"/>
        <v>0.15509999999999999</v>
      </c>
    </row>
    <row r="28" spans="1:9" x14ac:dyDescent="0.35">
      <c r="A28" t="s">
        <v>14</v>
      </c>
      <c r="B28" t="s">
        <v>3</v>
      </c>
      <c r="C28">
        <v>3</v>
      </c>
      <c r="D28">
        <v>0.17519999999999999</v>
      </c>
      <c r="E28" s="1">
        <f t="shared" si="0"/>
        <v>2.4107828041411209E-2</v>
      </c>
      <c r="F28" s="8">
        <f>D28/selection!$F$5</f>
        <v>1</v>
      </c>
      <c r="G28" s="6">
        <f>ABS(selection!$H$3-guiberson!F28)</f>
        <v>1.3331539289558667</v>
      </c>
      <c r="H28">
        <f t="shared" si="1"/>
        <v>3</v>
      </c>
      <c r="I28">
        <f t="shared" si="2"/>
        <v>0.17519999999999999</v>
      </c>
    </row>
    <row r="29" spans="1:9" x14ac:dyDescent="0.35">
      <c r="A29" t="s">
        <v>14</v>
      </c>
      <c r="B29" t="s">
        <v>3</v>
      </c>
      <c r="C29">
        <v>4</v>
      </c>
      <c r="D29">
        <v>0.19989999999999999</v>
      </c>
      <c r="E29" s="1">
        <f t="shared" si="0"/>
        <v>3.1384518463343662E-2</v>
      </c>
      <c r="F29" s="8">
        <f>D29/selection!$F$5</f>
        <v>1.1409817351598173</v>
      </c>
      <c r="G29" s="6">
        <f>ABS(selection!$H$3-guiberson!F29)</f>
        <v>1.1921721937960494</v>
      </c>
      <c r="H29">
        <f t="shared" si="1"/>
        <v>4</v>
      </c>
      <c r="I29">
        <f t="shared" si="2"/>
        <v>0.19989999999999999</v>
      </c>
    </row>
    <row r="30" spans="1:9" x14ac:dyDescent="0.35">
      <c r="A30" t="s">
        <v>14</v>
      </c>
      <c r="B30" t="s">
        <v>3</v>
      </c>
      <c r="C30">
        <v>5</v>
      </c>
      <c r="D30">
        <v>0.22</v>
      </c>
      <c r="E30" s="1">
        <f t="shared" si="0"/>
        <v>3.8013271108436497E-2</v>
      </c>
      <c r="F30" s="8">
        <f>D30/selection!$F$5</f>
        <v>1.2557077625570776</v>
      </c>
      <c r="G30" s="6">
        <f>ABS(selection!$H$3-guiberson!F30)</f>
        <v>1.0774461663987891</v>
      </c>
      <c r="H30">
        <f t="shared" si="1"/>
        <v>5</v>
      </c>
      <c r="I30">
        <f t="shared" si="2"/>
        <v>0.22</v>
      </c>
    </row>
    <row r="31" spans="1:9" x14ac:dyDescent="0.35">
      <c r="A31" t="s">
        <v>14</v>
      </c>
      <c r="B31" t="s">
        <v>3</v>
      </c>
      <c r="C31">
        <v>6</v>
      </c>
      <c r="D31">
        <v>0.2399</v>
      </c>
      <c r="E31" s="1">
        <f t="shared" si="0"/>
        <v>4.5201242953831579E-2</v>
      </c>
      <c r="F31" s="8">
        <f>D31/selection!$F$5</f>
        <v>1.3692922374429224</v>
      </c>
      <c r="G31" s="6">
        <f>ABS(selection!$H$3-guiberson!F31)</f>
        <v>0.96386169151294432</v>
      </c>
      <c r="H31">
        <f t="shared" si="1"/>
        <v>6</v>
      </c>
      <c r="I31">
        <f t="shared" si="2"/>
        <v>0.2399</v>
      </c>
    </row>
    <row r="32" spans="1:9" x14ac:dyDescent="0.35">
      <c r="A32" t="s">
        <v>14</v>
      </c>
      <c r="B32" t="s">
        <v>3</v>
      </c>
      <c r="C32">
        <v>7</v>
      </c>
      <c r="D32">
        <v>0.26</v>
      </c>
      <c r="E32" s="1">
        <f t="shared" si="0"/>
        <v>5.3092915845667513E-2</v>
      </c>
      <c r="F32" s="8">
        <f>D32/selection!$F$5</f>
        <v>1.4840182648401827</v>
      </c>
      <c r="G32" s="6">
        <f>ABS(selection!$H$3-guiberson!F32)</f>
        <v>0.84913566411568397</v>
      </c>
      <c r="H32">
        <f t="shared" si="1"/>
        <v>7</v>
      </c>
      <c r="I32">
        <f t="shared" si="2"/>
        <v>0.26</v>
      </c>
    </row>
    <row r="33" spans="1:9" x14ac:dyDescent="0.35">
      <c r="A33" t="s">
        <v>14</v>
      </c>
      <c r="B33" t="s">
        <v>3</v>
      </c>
      <c r="C33">
        <v>8</v>
      </c>
      <c r="D33">
        <v>0.29010000000000002</v>
      </c>
      <c r="E33" s="1">
        <f t="shared" si="0"/>
        <v>6.6097546489184103E-2</v>
      </c>
      <c r="F33" s="8">
        <f>D33/selection!$F$5</f>
        <v>1.6558219178082194</v>
      </c>
      <c r="G33" s="6">
        <f>ABS(selection!$H$3-guiberson!F33)</f>
        <v>0.67733201114764729</v>
      </c>
      <c r="H33">
        <f t="shared" si="1"/>
        <v>8</v>
      </c>
      <c r="I33">
        <f t="shared" si="2"/>
        <v>0.29010000000000002</v>
      </c>
    </row>
    <row r="34" spans="1:9" x14ac:dyDescent="0.35">
      <c r="A34" t="s">
        <v>14</v>
      </c>
      <c r="B34" t="s">
        <v>3</v>
      </c>
      <c r="C34">
        <v>9</v>
      </c>
      <c r="D34">
        <v>0.32</v>
      </c>
      <c r="E34" s="1">
        <f t="shared" si="0"/>
        <v>8.0424771931898703E-2</v>
      </c>
      <c r="F34" s="8">
        <f>D34/selection!$F$5</f>
        <v>1.8264840182648403</v>
      </c>
      <c r="G34" s="6">
        <f>ABS(selection!$H$3-guiberson!F34)</f>
        <v>0.5066699106910264</v>
      </c>
      <c r="H34">
        <f t="shared" si="1"/>
        <v>9</v>
      </c>
      <c r="I34">
        <f t="shared" si="2"/>
        <v>0.32</v>
      </c>
    </row>
    <row r="35" spans="1:9" x14ac:dyDescent="0.35">
      <c r="A35" t="s">
        <v>14</v>
      </c>
      <c r="B35" t="s">
        <v>3</v>
      </c>
      <c r="C35">
        <v>10</v>
      </c>
      <c r="D35">
        <v>0.35</v>
      </c>
      <c r="E35" s="1">
        <f t="shared" si="0"/>
        <v>9.6211275016187398E-2</v>
      </c>
      <c r="F35" s="8">
        <f>D35/selection!$F$5</f>
        <v>1.9977168949771689</v>
      </c>
      <c r="G35" s="6">
        <f>ABS(selection!$H$3-guiberson!F35)</f>
        <v>0.33543703397869784</v>
      </c>
      <c r="H35">
        <f t="shared" si="1"/>
        <v>10</v>
      </c>
      <c r="I35">
        <f t="shared" si="2"/>
        <v>0.35</v>
      </c>
    </row>
    <row r="36" spans="1:9" x14ac:dyDescent="0.35">
      <c r="A36" t="s">
        <v>14</v>
      </c>
      <c r="B36" t="s">
        <v>3</v>
      </c>
      <c r="C36">
        <v>11</v>
      </c>
      <c r="D36">
        <v>0.3901</v>
      </c>
      <c r="E36" s="1">
        <f t="shared" si="0"/>
        <v>0.11952032956347852</v>
      </c>
      <c r="F36" s="8">
        <f>D36/selection!$F$5</f>
        <v>2.2265981735159817</v>
      </c>
      <c r="G36" s="6">
        <f>ABS(selection!$H$3-guiberson!F36)</f>
        <v>0.10655575543988505</v>
      </c>
      <c r="H36">
        <f t="shared" si="1"/>
        <v>11</v>
      </c>
      <c r="I36">
        <f t="shared" si="2"/>
        <v>0.3901</v>
      </c>
    </row>
    <row r="37" spans="1:9" x14ac:dyDescent="0.35">
      <c r="A37" t="s">
        <v>14</v>
      </c>
      <c r="B37" t="s">
        <v>3</v>
      </c>
      <c r="C37">
        <v>12</v>
      </c>
      <c r="D37">
        <v>0.43</v>
      </c>
      <c r="E37" s="1">
        <f t="shared" si="0"/>
        <v>0.14522012041218818</v>
      </c>
      <c r="F37" s="8">
        <f>D37/selection!$F$5</f>
        <v>2.4543378995433791</v>
      </c>
      <c r="G37" s="6">
        <f>ABS(selection!$H$3-guiberson!F37)</f>
        <v>0.1211839705875124</v>
      </c>
      <c r="H37">
        <f t="shared" si="1"/>
        <v>12</v>
      </c>
      <c r="I37">
        <f t="shared" si="2"/>
        <v>0.43</v>
      </c>
    </row>
    <row r="38" spans="1:9" x14ac:dyDescent="0.35">
      <c r="A38" t="s">
        <v>14</v>
      </c>
      <c r="B38" t="s">
        <v>3</v>
      </c>
      <c r="C38">
        <v>13</v>
      </c>
      <c r="D38">
        <v>0.47499999999999998</v>
      </c>
      <c r="E38" s="1">
        <f t="shared" si="0"/>
        <v>0.17720546061654927</v>
      </c>
      <c r="F38" s="8">
        <f>D38/selection!$F$5</f>
        <v>2.7111872146118721</v>
      </c>
      <c r="G38" s="6">
        <f>ABS(selection!$H$3-guiberson!F38)</f>
        <v>0.37803328565600536</v>
      </c>
      <c r="H38">
        <f t="shared" si="1"/>
        <v>13</v>
      </c>
      <c r="I38">
        <f t="shared" si="2"/>
        <v>0.47499999999999998</v>
      </c>
    </row>
    <row r="39" spans="1:9" x14ac:dyDescent="0.35">
      <c r="A39" t="s">
        <v>14</v>
      </c>
      <c r="B39" t="s">
        <v>3</v>
      </c>
      <c r="C39">
        <v>14</v>
      </c>
      <c r="D39">
        <v>0.52500000000000002</v>
      </c>
      <c r="E39" s="1">
        <f t="shared" si="0"/>
        <v>0.21647536878642168</v>
      </c>
      <c r="F39" s="8">
        <f>D39/selection!$F$5</f>
        <v>2.9965753424657535</v>
      </c>
      <c r="G39" s="6">
        <f>ABS(selection!$H$3-guiberson!F39)</f>
        <v>0.66342141350988681</v>
      </c>
      <c r="H39">
        <f t="shared" si="1"/>
        <v>14</v>
      </c>
      <c r="I39">
        <f t="shared" si="2"/>
        <v>0.52500000000000002</v>
      </c>
    </row>
    <row r="40" spans="1:9" x14ac:dyDescent="0.35">
      <c r="A40" t="s">
        <v>14</v>
      </c>
      <c r="B40" t="s">
        <v>3</v>
      </c>
      <c r="C40">
        <v>15</v>
      </c>
      <c r="D40">
        <v>0.57599999999999996</v>
      </c>
      <c r="E40" s="1">
        <f t="shared" si="0"/>
        <v>0.26057626105935178</v>
      </c>
      <c r="F40" s="8">
        <f>D40/selection!$F$5</f>
        <v>3.2876712328767121</v>
      </c>
      <c r="G40" s="6">
        <f>ABS(selection!$H$3-guiberson!F40)</f>
        <v>0.95451730392084544</v>
      </c>
      <c r="H40">
        <f t="shared" si="1"/>
        <v>15</v>
      </c>
      <c r="I40">
        <f t="shared" si="2"/>
        <v>0.57599999999999996</v>
      </c>
    </row>
    <row r="41" spans="1:9" x14ac:dyDescent="0.35">
      <c r="A41" t="s">
        <v>14</v>
      </c>
      <c r="B41" t="s">
        <v>3</v>
      </c>
      <c r="C41">
        <v>16</v>
      </c>
      <c r="D41">
        <v>0.63100000000000001</v>
      </c>
      <c r="E41" s="1">
        <f t="shared" si="0"/>
        <v>0.31271491813649138</v>
      </c>
      <c r="F41" s="8">
        <f>D41/selection!$F$5</f>
        <v>3.6015981735159817</v>
      </c>
      <c r="G41" s="6">
        <f>ABS(selection!$H$3-guiberson!F41)</f>
        <v>1.268444244560115</v>
      </c>
      <c r="H41">
        <f t="shared" si="1"/>
        <v>16</v>
      </c>
      <c r="I41">
        <f t="shared" si="2"/>
        <v>0.63100000000000001</v>
      </c>
    </row>
    <row r="42" spans="1:9" x14ac:dyDescent="0.35">
      <c r="A42" t="s">
        <v>14</v>
      </c>
      <c r="B42" t="s">
        <v>3</v>
      </c>
      <c r="C42">
        <v>17</v>
      </c>
      <c r="D42">
        <v>0.69099999999999995</v>
      </c>
      <c r="E42" s="1">
        <f t="shared" si="0"/>
        <v>0.37501270045717694</v>
      </c>
      <c r="F42" s="8">
        <f>D42/selection!$F$5</f>
        <v>3.9440639269406392</v>
      </c>
      <c r="G42" s="6">
        <f>ABS(selection!$H$3-guiberson!F42)</f>
        <v>1.6109099979847725</v>
      </c>
      <c r="H42">
        <f t="shared" si="1"/>
        <v>17</v>
      </c>
      <c r="I42">
        <f t="shared" si="2"/>
        <v>0.69099999999999995</v>
      </c>
    </row>
    <row r="43" spans="1:9" x14ac:dyDescent="0.35">
      <c r="A43" t="s">
        <v>14</v>
      </c>
      <c r="B43" t="s">
        <v>3</v>
      </c>
      <c r="C43">
        <v>18</v>
      </c>
      <c r="D43">
        <v>0.75800000000000001</v>
      </c>
      <c r="E43" s="1">
        <f t="shared" si="0"/>
        <v>0.45126151035429146</v>
      </c>
      <c r="F43" s="8">
        <f>D43/selection!$F$5</f>
        <v>4.3264840182648401</v>
      </c>
      <c r="G43" s="6">
        <f>ABS(selection!$H$3-guiberson!F43)</f>
        <v>1.9933300893089734</v>
      </c>
      <c r="H43">
        <f t="shared" si="1"/>
        <v>18</v>
      </c>
      <c r="I43">
        <f t="shared" si="2"/>
        <v>0.75800000000000001</v>
      </c>
    </row>
    <row r="44" spans="1:9" x14ac:dyDescent="0.35">
      <c r="A44" t="s">
        <v>14</v>
      </c>
      <c r="B44" t="s">
        <v>3</v>
      </c>
      <c r="C44">
        <v>19</v>
      </c>
      <c r="D44">
        <v>0.83099999999999996</v>
      </c>
      <c r="E44" s="1">
        <f t="shared" si="0"/>
        <v>0.54236534111390522</v>
      </c>
      <c r="F44" s="8">
        <f>D44/selection!$F$5</f>
        <v>4.743150684931507</v>
      </c>
      <c r="G44" s="6">
        <f>ABS(selection!$H$3-guiberson!F44)</f>
        <v>2.4099967559756403</v>
      </c>
      <c r="H44">
        <f t="shared" si="1"/>
        <v>19</v>
      </c>
      <c r="I44">
        <f t="shared" si="2"/>
        <v>0.83099999999999996</v>
      </c>
    </row>
    <row r="45" spans="1:9" x14ac:dyDescent="0.35">
      <c r="A45" t="s">
        <v>14</v>
      </c>
      <c r="B45" t="s">
        <v>3</v>
      </c>
      <c r="C45">
        <v>20</v>
      </c>
      <c r="D45">
        <v>0.91100000000000003</v>
      </c>
      <c r="E45" s="1">
        <f t="shared" si="0"/>
        <v>0.65181842916497368</v>
      </c>
      <c r="F45" s="8">
        <f>D45/selection!$F$5</f>
        <v>5.1997716894977168</v>
      </c>
      <c r="G45" s="6">
        <f>ABS(selection!$H$3-guiberson!F45)</f>
        <v>2.8666177605418501</v>
      </c>
      <c r="H45">
        <f t="shared" si="1"/>
        <v>20</v>
      </c>
      <c r="I45">
        <f t="shared" si="2"/>
        <v>0.91100000000000003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A464-2379-42E9-9FB2-48CA3F8FF4E5}">
  <dimension ref="A1:J45"/>
  <sheetViews>
    <sheetView workbookViewId="0">
      <selection activeCell="L14" sqref="L14"/>
    </sheetView>
  </sheetViews>
  <sheetFormatPr defaultRowHeight="14.5" x14ac:dyDescent="0.35"/>
  <cols>
    <col min="1" max="1" width="5.54296875" bestFit="1" customWidth="1"/>
    <col min="2" max="2" width="6.1796875" bestFit="1" customWidth="1"/>
    <col min="3" max="3" width="7.453125" bestFit="1" customWidth="1"/>
    <col min="4" max="4" width="6.81640625" bestFit="1" customWidth="1"/>
    <col min="5" max="5" width="8.1796875" bestFit="1" customWidth="1"/>
    <col min="6" max="6" width="8.26953125" bestFit="1" customWidth="1"/>
    <col min="7" max="8" width="7.453125" bestFit="1" customWidth="1"/>
    <col min="9" max="9" width="8.81640625" customWidth="1"/>
    <col min="10" max="10" width="6.54296875" bestFit="1" customWidth="1"/>
    <col min="11" max="11" width="10.453125" bestFit="1" customWidth="1"/>
  </cols>
  <sheetData>
    <row r="1" spans="1:10" x14ac:dyDescent="0.35">
      <c r="A1" t="s">
        <v>1</v>
      </c>
      <c r="B1" t="s">
        <v>17</v>
      </c>
      <c r="C1" t="s">
        <v>7</v>
      </c>
      <c r="D1" t="s">
        <v>18</v>
      </c>
      <c r="E1" t="s">
        <v>19</v>
      </c>
      <c r="F1" t="s">
        <v>25</v>
      </c>
      <c r="G1" t="s">
        <v>26</v>
      </c>
      <c r="H1" t="s">
        <v>7</v>
      </c>
      <c r="I1" t="s">
        <v>18</v>
      </c>
    </row>
    <row r="2" spans="1:10" x14ac:dyDescent="0.35">
      <c r="A2" t="s">
        <v>15</v>
      </c>
      <c r="B2" t="s">
        <v>2</v>
      </c>
      <c r="C2">
        <v>1</v>
      </c>
      <c r="D2">
        <v>5.5300000000000002E-2</v>
      </c>
      <c r="E2" s="1">
        <f>PI()*D2^2/4</f>
        <v>2.4018182695041026E-3</v>
      </c>
      <c r="F2" s="1"/>
      <c r="G2" s="1">
        <f>ABS(selection!$F$3-kobe!D2)</f>
        <v>0.1305</v>
      </c>
      <c r="H2">
        <f>C2</f>
        <v>1</v>
      </c>
      <c r="I2" s="1">
        <f>D2</f>
        <v>5.5300000000000002E-2</v>
      </c>
      <c r="J2" s="1"/>
    </row>
    <row r="3" spans="1:10" x14ac:dyDescent="0.35">
      <c r="A3" t="s">
        <v>15</v>
      </c>
      <c r="B3" t="s">
        <v>2</v>
      </c>
      <c r="C3">
        <v>2</v>
      </c>
      <c r="D3">
        <v>6.2799999999999995E-2</v>
      </c>
      <c r="E3" s="1">
        <f t="shared" ref="E3:E45" si="0">PI()*D3^2/4</f>
        <v>3.0974846927333921E-3</v>
      </c>
      <c r="F3" s="1"/>
      <c r="G3" s="1">
        <f>ABS(selection!$F$3-kobe!D3)</f>
        <v>0.123</v>
      </c>
      <c r="H3">
        <f t="shared" ref="H3:H45" si="1">C3</f>
        <v>2</v>
      </c>
      <c r="I3" s="1">
        <f t="shared" ref="I3:I45" si="2">D3</f>
        <v>6.2799999999999995E-2</v>
      </c>
      <c r="J3" s="1"/>
    </row>
    <row r="4" spans="1:10" x14ac:dyDescent="0.35">
      <c r="A4" t="s">
        <v>15</v>
      </c>
      <c r="B4" t="s">
        <v>2</v>
      </c>
      <c r="C4">
        <v>3</v>
      </c>
      <c r="D4">
        <v>7.1400000000000005E-2</v>
      </c>
      <c r="E4" s="1">
        <f t="shared" si="0"/>
        <v>4.0039284210736555E-3</v>
      </c>
      <c r="F4" s="1"/>
      <c r="G4" s="1">
        <f>ABS(selection!$F$3-kobe!D4)</f>
        <v>0.11439999999999999</v>
      </c>
      <c r="H4">
        <f t="shared" si="1"/>
        <v>3</v>
      </c>
      <c r="I4" s="1">
        <f t="shared" si="2"/>
        <v>7.1400000000000005E-2</v>
      </c>
      <c r="J4" s="1"/>
    </row>
    <row r="5" spans="1:10" x14ac:dyDescent="0.35">
      <c r="A5" t="s">
        <v>15</v>
      </c>
      <c r="B5" t="s">
        <v>2</v>
      </c>
      <c r="C5">
        <v>4</v>
      </c>
      <c r="D5">
        <v>8.14E-2</v>
      </c>
      <c r="E5" s="1">
        <f t="shared" si="0"/>
        <v>5.2040168147449569E-3</v>
      </c>
      <c r="F5" s="1"/>
      <c r="G5" s="1">
        <f>ABS(selection!$F$3-kobe!D5)</f>
        <v>0.10439999999999999</v>
      </c>
      <c r="H5">
        <f t="shared" si="1"/>
        <v>4</v>
      </c>
      <c r="I5" s="1">
        <f t="shared" si="2"/>
        <v>8.14E-2</v>
      </c>
      <c r="J5" s="1"/>
    </row>
    <row r="6" spans="1:10" x14ac:dyDescent="0.35">
      <c r="A6" t="s">
        <v>15</v>
      </c>
      <c r="B6" t="s">
        <v>2</v>
      </c>
      <c r="C6">
        <v>5</v>
      </c>
      <c r="D6">
        <v>9.2399999999999996E-2</v>
      </c>
      <c r="E6" s="1">
        <f t="shared" si="0"/>
        <v>6.7055410235281965E-3</v>
      </c>
      <c r="F6" s="1"/>
      <c r="G6" s="1">
        <f>ABS(selection!$F$3-kobe!D6)</f>
        <v>9.3399999999999997E-2</v>
      </c>
      <c r="H6">
        <f t="shared" si="1"/>
        <v>5</v>
      </c>
      <c r="I6" s="1">
        <f t="shared" si="2"/>
        <v>9.2399999999999996E-2</v>
      </c>
      <c r="J6" s="1"/>
    </row>
    <row r="7" spans="1:10" x14ac:dyDescent="0.35">
      <c r="A7" t="s">
        <v>15</v>
      </c>
      <c r="B7" t="s">
        <v>2</v>
      </c>
      <c r="C7">
        <v>6</v>
      </c>
      <c r="D7">
        <v>0.1046</v>
      </c>
      <c r="E7" s="1">
        <f t="shared" si="0"/>
        <v>8.593166969437625E-3</v>
      </c>
      <c r="F7" s="1"/>
      <c r="G7" s="1">
        <f>ABS(selection!$F$3-kobe!D7)</f>
        <v>8.1199999999999994E-2</v>
      </c>
      <c r="H7">
        <f t="shared" si="1"/>
        <v>6</v>
      </c>
      <c r="I7" s="1">
        <f t="shared" si="2"/>
        <v>0.1046</v>
      </c>
      <c r="J7" s="1"/>
    </row>
    <row r="8" spans="1:10" x14ac:dyDescent="0.35">
      <c r="A8" t="s">
        <v>15</v>
      </c>
      <c r="B8" t="s">
        <v>2</v>
      </c>
      <c r="C8">
        <v>7</v>
      </c>
      <c r="D8">
        <v>0.11890000000000001</v>
      </c>
      <c r="E8" s="1">
        <f t="shared" si="0"/>
        <v>1.110333876956404E-2</v>
      </c>
      <c r="F8" s="1"/>
      <c r="G8" s="1">
        <f>ABS(selection!$F$3-kobe!D8)</f>
        <v>6.6899999999999987E-2</v>
      </c>
      <c r="H8">
        <f t="shared" si="1"/>
        <v>7</v>
      </c>
      <c r="I8" s="1">
        <f t="shared" si="2"/>
        <v>0.11890000000000001</v>
      </c>
      <c r="J8" s="1"/>
    </row>
    <row r="9" spans="1:10" x14ac:dyDescent="0.35">
      <c r="A9" t="s">
        <v>15</v>
      </c>
      <c r="B9" t="s">
        <v>2</v>
      </c>
      <c r="C9">
        <v>8</v>
      </c>
      <c r="D9">
        <v>0.13539999999999999</v>
      </c>
      <c r="E9" s="1">
        <f t="shared" si="0"/>
        <v>1.4398830193271562E-2</v>
      </c>
      <c r="F9" s="1"/>
      <c r="G9" s="1">
        <f>ABS(selection!$F$3-kobe!D9)</f>
        <v>5.04E-2</v>
      </c>
      <c r="H9">
        <f t="shared" si="1"/>
        <v>8</v>
      </c>
      <c r="I9" s="1">
        <f t="shared" si="2"/>
        <v>0.13539999999999999</v>
      </c>
      <c r="J9" s="1"/>
    </row>
    <row r="10" spans="1:10" x14ac:dyDescent="0.35">
      <c r="A10" t="s">
        <v>15</v>
      </c>
      <c r="B10" t="s">
        <v>2</v>
      </c>
      <c r="C10">
        <v>9</v>
      </c>
      <c r="D10">
        <v>0.15390000000000001</v>
      </c>
      <c r="E10" s="1">
        <f t="shared" si="0"/>
        <v>1.8602320433682876E-2</v>
      </c>
      <c r="F10" s="1"/>
      <c r="G10" s="1">
        <f>ABS(selection!$F$3-kobe!D10)</f>
        <v>3.1899999999999984E-2</v>
      </c>
      <c r="H10">
        <f t="shared" si="1"/>
        <v>9</v>
      </c>
      <c r="I10" s="1">
        <f t="shared" si="2"/>
        <v>0.15390000000000001</v>
      </c>
      <c r="J10" s="1"/>
    </row>
    <row r="11" spans="1:10" x14ac:dyDescent="0.35">
      <c r="A11" t="s">
        <v>15</v>
      </c>
      <c r="B11" t="s">
        <v>2</v>
      </c>
      <c r="C11">
        <v>10</v>
      </c>
      <c r="D11">
        <v>0.17480000000000001</v>
      </c>
      <c r="E11" s="1">
        <f t="shared" si="0"/>
        <v>2.3997872298535571E-2</v>
      </c>
      <c r="F11" s="1"/>
      <c r="G11" s="1">
        <f>ABS(selection!$F$3-kobe!D11)</f>
        <v>1.0999999999999982E-2</v>
      </c>
      <c r="H11">
        <f t="shared" si="1"/>
        <v>10</v>
      </c>
      <c r="I11" s="1">
        <f t="shared" si="2"/>
        <v>0.17480000000000001</v>
      </c>
      <c r="J11" s="1"/>
    </row>
    <row r="12" spans="1:10" x14ac:dyDescent="0.35">
      <c r="A12" t="s">
        <v>15</v>
      </c>
      <c r="B12" t="s">
        <v>2</v>
      </c>
      <c r="C12">
        <v>11</v>
      </c>
      <c r="D12">
        <v>0.19869999999999999</v>
      </c>
      <c r="E12" s="1">
        <f t="shared" si="0"/>
        <v>3.1008846813827394E-2</v>
      </c>
      <c r="F12" s="1"/>
      <c r="G12" s="1">
        <f>ABS(selection!$F$3-kobe!D12)</f>
        <v>1.2899999999999995E-2</v>
      </c>
      <c r="H12">
        <f t="shared" si="1"/>
        <v>11</v>
      </c>
      <c r="I12" s="1">
        <f t="shared" si="2"/>
        <v>0.19869999999999999</v>
      </c>
      <c r="J12" s="1"/>
    </row>
    <row r="13" spans="1:10" x14ac:dyDescent="0.35">
      <c r="A13" t="s">
        <v>15</v>
      </c>
      <c r="B13" t="s">
        <v>2</v>
      </c>
      <c r="C13">
        <v>12</v>
      </c>
      <c r="D13">
        <v>0.22570000000000001</v>
      </c>
      <c r="E13" s="1">
        <f t="shared" si="0"/>
        <v>4.0008567288566083E-2</v>
      </c>
      <c r="F13" s="1"/>
      <c r="G13" s="1">
        <f>ABS(selection!$F$3-kobe!D13)</f>
        <v>3.9900000000000019E-2</v>
      </c>
      <c r="H13">
        <f t="shared" si="1"/>
        <v>12</v>
      </c>
      <c r="I13" s="1">
        <f t="shared" si="2"/>
        <v>0.22570000000000001</v>
      </c>
      <c r="J13" s="1"/>
    </row>
    <row r="14" spans="1:10" x14ac:dyDescent="0.35">
      <c r="A14" t="s">
        <v>15</v>
      </c>
      <c r="B14" t="s">
        <v>2</v>
      </c>
      <c r="C14">
        <v>13</v>
      </c>
      <c r="D14">
        <v>0.25659999999999999</v>
      </c>
      <c r="E14" s="1">
        <f t="shared" si="0"/>
        <v>5.1713411095549687E-2</v>
      </c>
      <c r="F14" s="1"/>
      <c r="G14" s="1">
        <f>ABS(selection!$F$3-kobe!D14)</f>
        <v>7.0800000000000002E-2</v>
      </c>
      <c r="H14">
        <f t="shared" si="1"/>
        <v>13</v>
      </c>
      <c r="I14" s="1">
        <f t="shared" si="2"/>
        <v>0.25659999999999999</v>
      </c>
      <c r="J14" s="1"/>
    </row>
    <row r="15" spans="1:10" x14ac:dyDescent="0.35">
      <c r="A15" t="s">
        <v>15</v>
      </c>
      <c r="B15" t="s">
        <v>2</v>
      </c>
      <c r="C15">
        <v>14</v>
      </c>
      <c r="D15">
        <v>0.29160000000000003</v>
      </c>
      <c r="E15" s="1">
        <f t="shared" si="0"/>
        <v>6.6782845656656542E-2</v>
      </c>
      <c r="F15" s="1"/>
      <c r="G15" s="1">
        <f>ABS(selection!$F$3-kobe!D15)</f>
        <v>0.10580000000000003</v>
      </c>
      <c r="H15">
        <f t="shared" si="1"/>
        <v>14</v>
      </c>
      <c r="I15" s="1">
        <f t="shared" si="2"/>
        <v>0.29160000000000003</v>
      </c>
      <c r="J15" s="1"/>
    </row>
    <row r="16" spans="1:10" x14ac:dyDescent="0.35">
      <c r="A16" t="s">
        <v>15</v>
      </c>
      <c r="B16" t="s">
        <v>2</v>
      </c>
      <c r="C16">
        <v>15</v>
      </c>
      <c r="D16">
        <v>0.33150000000000002</v>
      </c>
      <c r="E16" s="1">
        <f t="shared" si="0"/>
        <v>8.630917132161324E-2</v>
      </c>
      <c r="F16" s="1"/>
      <c r="G16" s="1">
        <f>ABS(selection!$F$3-kobe!D16)</f>
        <v>0.14570000000000002</v>
      </c>
      <c r="H16">
        <f t="shared" si="1"/>
        <v>15</v>
      </c>
      <c r="I16" s="1">
        <f t="shared" si="2"/>
        <v>0.33150000000000002</v>
      </c>
      <c r="J16" s="1"/>
    </row>
    <row r="17" spans="1:10" x14ac:dyDescent="0.35">
      <c r="A17" t="s">
        <v>15</v>
      </c>
      <c r="B17" t="s">
        <v>2</v>
      </c>
      <c r="C17">
        <v>16</v>
      </c>
      <c r="D17">
        <v>0.37659999999999999</v>
      </c>
      <c r="E17" s="1">
        <f t="shared" si="0"/>
        <v>0.11139110514314139</v>
      </c>
      <c r="F17" s="1"/>
      <c r="G17" s="1">
        <f>ABS(selection!$F$3-kobe!D17)</f>
        <v>0.1908</v>
      </c>
      <c r="H17">
        <f t="shared" si="1"/>
        <v>16</v>
      </c>
      <c r="I17" s="1">
        <f t="shared" si="2"/>
        <v>0.37659999999999999</v>
      </c>
      <c r="J17" s="1"/>
    </row>
    <row r="18" spans="1:10" x14ac:dyDescent="0.35">
      <c r="A18" t="s">
        <v>15</v>
      </c>
      <c r="B18" t="s">
        <v>2</v>
      </c>
      <c r="C18">
        <v>17</v>
      </c>
      <c r="D18">
        <v>0.42799999999999999</v>
      </c>
      <c r="E18" s="1">
        <f t="shared" si="0"/>
        <v>0.14387237716379817</v>
      </c>
      <c r="F18" s="1"/>
      <c r="G18" s="1">
        <f>ABS(selection!$F$3-kobe!D18)</f>
        <v>0.2422</v>
      </c>
      <c r="H18">
        <f t="shared" si="1"/>
        <v>17</v>
      </c>
      <c r="I18" s="1">
        <f t="shared" si="2"/>
        <v>0.42799999999999999</v>
      </c>
      <c r="J18" s="1"/>
    </row>
    <row r="19" spans="1:10" x14ac:dyDescent="0.35">
      <c r="A19" t="s">
        <v>15</v>
      </c>
      <c r="B19" t="s">
        <v>2</v>
      </c>
      <c r="C19">
        <v>18</v>
      </c>
      <c r="D19">
        <v>0.4864</v>
      </c>
      <c r="E19" s="1">
        <f t="shared" si="0"/>
        <v>0.18581339307145878</v>
      </c>
      <c r="F19" s="1"/>
      <c r="G19" s="1">
        <f>ABS(selection!$F$3-kobe!D19)</f>
        <v>0.30059999999999998</v>
      </c>
      <c r="H19">
        <f t="shared" si="1"/>
        <v>18</v>
      </c>
      <c r="I19" s="1">
        <f t="shared" si="2"/>
        <v>0.4864</v>
      </c>
      <c r="J19" s="1"/>
    </row>
    <row r="20" spans="1:10" x14ac:dyDescent="0.35">
      <c r="A20" t="s">
        <v>15</v>
      </c>
      <c r="B20" t="s">
        <v>2</v>
      </c>
      <c r="C20">
        <v>19</v>
      </c>
      <c r="D20">
        <v>0.55279999999999996</v>
      </c>
      <c r="E20" s="1">
        <f t="shared" si="0"/>
        <v>0.24000812829259324</v>
      </c>
      <c r="F20" s="1"/>
      <c r="G20" s="1">
        <f>ABS(selection!$F$3-kobe!D20)</f>
        <v>0.36699999999999999</v>
      </c>
      <c r="H20">
        <f t="shared" si="1"/>
        <v>19</v>
      </c>
      <c r="I20" s="1">
        <f t="shared" si="2"/>
        <v>0.55279999999999996</v>
      </c>
      <c r="J20" s="1"/>
    </row>
    <row r="21" spans="1:10" x14ac:dyDescent="0.35">
      <c r="A21" t="s">
        <v>15</v>
      </c>
      <c r="B21" t="s">
        <v>2</v>
      </c>
      <c r="C21">
        <v>20</v>
      </c>
      <c r="D21">
        <v>0.62829999999999997</v>
      </c>
      <c r="E21" s="1">
        <f t="shared" si="0"/>
        <v>0.31004447798714208</v>
      </c>
      <c r="F21" s="1"/>
      <c r="G21" s="1">
        <f>ABS(selection!$F$3-kobe!D21)</f>
        <v>0.4425</v>
      </c>
      <c r="H21">
        <f t="shared" si="1"/>
        <v>20</v>
      </c>
      <c r="I21" s="1">
        <f t="shared" si="2"/>
        <v>0.62829999999999997</v>
      </c>
      <c r="J21" s="1"/>
    </row>
    <row r="22" spans="1:10" x14ac:dyDescent="0.35">
      <c r="A22" t="s">
        <v>15</v>
      </c>
      <c r="B22" t="s">
        <v>3</v>
      </c>
      <c r="C22">
        <v>1</v>
      </c>
      <c r="D22">
        <v>8.7400000000000005E-2</v>
      </c>
      <c r="E22" s="1">
        <f t="shared" si="0"/>
        <v>5.9994680746338928E-3</v>
      </c>
      <c r="F22" s="6">
        <f>D22/selection!$F$6</f>
        <v>0.5</v>
      </c>
      <c r="G22" s="8">
        <f>ABS(kobe!F22-selection!$H$3)</f>
        <v>1.8331539289558667</v>
      </c>
      <c r="H22">
        <f t="shared" si="1"/>
        <v>1</v>
      </c>
      <c r="I22" s="1">
        <f t="shared" si="2"/>
        <v>8.7400000000000005E-2</v>
      </c>
    </row>
    <row r="23" spans="1:10" x14ac:dyDescent="0.35">
      <c r="A23" t="s">
        <v>15</v>
      </c>
      <c r="B23" t="s">
        <v>3</v>
      </c>
      <c r="C23">
        <v>2</v>
      </c>
      <c r="D23">
        <v>9.9000000000000005E-2</v>
      </c>
      <c r="E23" s="1">
        <f t="shared" si="0"/>
        <v>7.6976873994583908E-3</v>
      </c>
      <c r="F23" s="6">
        <f>D23/selection!$F$6</f>
        <v>0.56636155606407323</v>
      </c>
      <c r="G23" s="8">
        <f>ABS(kobe!F23-selection!$H$3)</f>
        <v>1.7667923728917936</v>
      </c>
      <c r="H23">
        <f t="shared" si="1"/>
        <v>2</v>
      </c>
      <c r="I23" s="1">
        <f t="shared" si="2"/>
        <v>9.9000000000000005E-2</v>
      </c>
    </row>
    <row r="24" spans="1:10" x14ac:dyDescent="0.35">
      <c r="A24" t="s">
        <v>15</v>
      </c>
      <c r="B24" t="s">
        <v>3</v>
      </c>
      <c r="C24">
        <v>3</v>
      </c>
      <c r="D24">
        <v>0.1128</v>
      </c>
      <c r="E24" s="1">
        <f t="shared" si="0"/>
        <v>9.9932805673629884E-3</v>
      </c>
      <c r="F24" s="6">
        <f>D24/selection!$F$6</f>
        <v>0.64530892448512578</v>
      </c>
      <c r="G24" s="8">
        <f>ABS(kobe!F24-selection!$H$3)</f>
        <v>1.6878450044707409</v>
      </c>
      <c r="H24">
        <f t="shared" si="1"/>
        <v>3</v>
      </c>
      <c r="I24" s="1">
        <f t="shared" si="2"/>
        <v>0.1128</v>
      </c>
    </row>
    <row r="25" spans="1:10" x14ac:dyDescent="0.35">
      <c r="A25" t="s">
        <v>15</v>
      </c>
      <c r="B25" t="s">
        <v>3</v>
      </c>
      <c r="C25">
        <v>4</v>
      </c>
      <c r="D25">
        <v>0.12820000000000001</v>
      </c>
      <c r="E25" s="1">
        <f t="shared" si="0"/>
        <v>1.290820731099628E-2</v>
      </c>
      <c r="F25" s="6">
        <f>D25/selection!$F$6</f>
        <v>0.73340961098398172</v>
      </c>
      <c r="G25" s="8">
        <f>ABS(kobe!F25-selection!$H$3)</f>
        <v>1.5997443179718851</v>
      </c>
      <c r="H25">
        <f t="shared" si="1"/>
        <v>4</v>
      </c>
      <c r="I25" s="1">
        <f t="shared" si="2"/>
        <v>0.12820000000000001</v>
      </c>
    </row>
    <row r="26" spans="1:10" x14ac:dyDescent="0.35">
      <c r="A26" t="s">
        <v>15</v>
      </c>
      <c r="B26" t="s">
        <v>3</v>
      </c>
      <c r="C26">
        <v>5</v>
      </c>
      <c r="D26">
        <v>0.14580000000000001</v>
      </c>
      <c r="E26" s="1">
        <f t="shared" si="0"/>
        <v>1.6695711414164136E-2</v>
      </c>
      <c r="F26" s="6">
        <f>D26/selection!$F$6</f>
        <v>0.83409610983981697</v>
      </c>
      <c r="G26" s="8">
        <f>ABS(kobe!F26-selection!$H$3)</f>
        <v>1.4990578191160497</v>
      </c>
      <c r="H26">
        <f t="shared" si="1"/>
        <v>5</v>
      </c>
      <c r="I26" s="1">
        <f t="shared" si="2"/>
        <v>0.14580000000000001</v>
      </c>
    </row>
    <row r="27" spans="1:10" x14ac:dyDescent="0.35">
      <c r="A27" t="s">
        <v>15</v>
      </c>
      <c r="B27" t="s">
        <v>3</v>
      </c>
      <c r="C27">
        <v>6</v>
      </c>
      <c r="D27">
        <v>0.16550000000000001</v>
      </c>
      <c r="E27" s="1">
        <f t="shared" si="0"/>
        <v>2.151225204499696E-2</v>
      </c>
      <c r="F27" s="6">
        <f>D27/selection!$F$6</f>
        <v>0.94679633867276891</v>
      </c>
      <c r="G27" s="8">
        <f>ABS(kobe!F27-selection!$H$3)</f>
        <v>1.3863575902830978</v>
      </c>
      <c r="H27">
        <f t="shared" si="1"/>
        <v>6</v>
      </c>
      <c r="I27" s="1">
        <f t="shared" si="2"/>
        <v>0.16550000000000001</v>
      </c>
    </row>
    <row r="28" spans="1:10" x14ac:dyDescent="0.35">
      <c r="A28" t="s">
        <v>15</v>
      </c>
      <c r="B28" t="s">
        <v>3</v>
      </c>
      <c r="C28">
        <v>7</v>
      </c>
      <c r="D28">
        <v>0.18809999999999999</v>
      </c>
      <c r="E28" s="1">
        <f t="shared" si="0"/>
        <v>2.7788651512044786E-2</v>
      </c>
      <c r="F28" s="6">
        <f>D28/selection!$F$6</f>
        <v>1.076086956521739</v>
      </c>
      <c r="G28" s="8">
        <f>ABS(kobe!F28-selection!$H$3)</f>
        <v>1.2570669724341277</v>
      </c>
      <c r="H28">
        <f t="shared" si="1"/>
        <v>7</v>
      </c>
      <c r="I28" s="1">
        <f t="shared" si="2"/>
        <v>0.18809999999999999</v>
      </c>
    </row>
    <row r="29" spans="1:10" x14ac:dyDescent="0.35">
      <c r="A29" t="s">
        <v>15</v>
      </c>
      <c r="B29" t="s">
        <v>3</v>
      </c>
      <c r="C29">
        <v>8</v>
      </c>
      <c r="D29">
        <v>0.21379999999999999</v>
      </c>
      <c r="E29" s="1">
        <f t="shared" si="0"/>
        <v>3.5900895624089255E-2</v>
      </c>
      <c r="F29" s="6">
        <f>D29/selection!$F$6</f>
        <v>1.223112128146453</v>
      </c>
      <c r="G29" s="8">
        <f>ABS(kobe!F29-selection!$H$3)</f>
        <v>1.1100418008094137</v>
      </c>
      <c r="H29">
        <f t="shared" si="1"/>
        <v>8</v>
      </c>
      <c r="I29" s="1">
        <f t="shared" si="2"/>
        <v>0.21379999999999999</v>
      </c>
    </row>
    <row r="30" spans="1:10" x14ac:dyDescent="0.35">
      <c r="A30" t="s">
        <v>15</v>
      </c>
      <c r="B30" t="s">
        <v>3</v>
      </c>
      <c r="C30">
        <v>9</v>
      </c>
      <c r="D30">
        <v>0.24310000000000001</v>
      </c>
      <c r="E30" s="1">
        <f t="shared" si="0"/>
        <v>4.6415154355178678E-2</v>
      </c>
      <c r="F30" s="6">
        <f>D30/selection!$F$6</f>
        <v>1.3907322654462242</v>
      </c>
      <c r="G30" s="8">
        <f>ABS(kobe!F30-selection!$H$3)</f>
        <v>0.94242166350964252</v>
      </c>
      <c r="H30">
        <f t="shared" si="1"/>
        <v>9</v>
      </c>
      <c r="I30" s="1">
        <f t="shared" si="2"/>
        <v>0.24310000000000001</v>
      </c>
    </row>
    <row r="31" spans="1:10" x14ac:dyDescent="0.35">
      <c r="A31" t="s">
        <v>15</v>
      </c>
      <c r="B31" t="s">
        <v>3</v>
      </c>
      <c r="C31">
        <v>10</v>
      </c>
      <c r="D31">
        <v>0.2762</v>
      </c>
      <c r="E31" s="1">
        <f t="shared" si="0"/>
        <v>5.9915229868129631E-2</v>
      </c>
      <c r="F31" s="6">
        <f>D31/selection!$F$6</f>
        <v>1.5800915331807779</v>
      </c>
      <c r="G31" s="8">
        <f>ABS(kobe!F31-selection!$H$3)</f>
        <v>0.75306239577508882</v>
      </c>
      <c r="H31">
        <f t="shared" si="1"/>
        <v>10</v>
      </c>
      <c r="I31" s="1">
        <f t="shared" si="2"/>
        <v>0.2762</v>
      </c>
    </row>
    <row r="32" spans="1:10" x14ac:dyDescent="0.35">
      <c r="A32" t="s">
        <v>15</v>
      </c>
      <c r="B32" t="s">
        <v>3</v>
      </c>
      <c r="C32">
        <v>11</v>
      </c>
      <c r="D32">
        <v>0.31390000000000001</v>
      </c>
      <c r="E32" s="1">
        <f t="shared" si="0"/>
        <v>7.738780216765509E-2</v>
      </c>
      <c r="F32" s="6">
        <f>D32/selection!$F$6</f>
        <v>1.7957665903890159</v>
      </c>
      <c r="G32" s="8">
        <f>ABS(kobe!F32-selection!$H$3)</f>
        <v>0.53738733856685084</v>
      </c>
      <c r="H32">
        <f t="shared" si="1"/>
        <v>11</v>
      </c>
      <c r="I32" s="1">
        <f t="shared" si="2"/>
        <v>0.31390000000000001</v>
      </c>
    </row>
    <row r="33" spans="1:9" x14ac:dyDescent="0.35">
      <c r="A33" t="s">
        <v>15</v>
      </c>
      <c r="B33" t="s">
        <v>3</v>
      </c>
      <c r="C33">
        <v>12</v>
      </c>
      <c r="D33">
        <v>0.35680000000000001</v>
      </c>
      <c r="E33" s="1">
        <f t="shared" si="0"/>
        <v>9.9986087085034772E-2</v>
      </c>
      <c r="F33" s="6">
        <f>D33/selection!$F$6</f>
        <v>2.0411899313501145</v>
      </c>
      <c r="G33" s="8">
        <f>ABS(kobe!F33-selection!$H$3)</f>
        <v>0.2919639976057522</v>
      </c>
      <c r="H33">
        <f t="shared" si="1"/>
        <v>12</v>
      </c>
      <c r="I33" s="1">
        <f t="shared" si="2"/>
        <v>0.35680000000000001</v>
      </c>
    </row>
    <row r="34" spans="1:9" x14ac:dyDescent="0.35">
      <c r="A34" t="s">
        <v>15</v>
      </c>
      <c r="B34" t="s">
        <v>3</v>
      </c>
      <c r="C34">
        <v>13</v>
      </c>
      <c r="D34">
        <v>0.40560000000000002</v>
      </c>
      <c r="E34" s="1">
        <f t="shared" si="0"/>
        <v>0.12920692000201645</v>
      </c>
      <c r="F34" s="6">
        <f>D34/selection!$F$6</f>
        <v>2.320366132723112</v>
      </c>
      <c r="G34" s="8">
        <f>ABS(kobe!F34-selection!$H$3)</f>
        <v>1.2787796232754722E-2</v>
      </c>
      <c r="H34">
        <f t="shared" si="1"/>
        <v>13</v>
      </c>
      <c r="I34" s="1">
        <f t="shared" si="2"/>
        <v>0.40560000000000002</v>
      </c>
    </row>
    <row r="35" spans="1:9" x14ac:dyDescent="0.35">
      <c r="A35" t="s">
        <v>15</v>
      </c>
      <c r="B35" t="s">
        <v>3</v>
      </c>
      <c r="C35">
        <v>14</v>
      </c>
      <c r="D35">
        <v>0.46079999999999999</v>
      </c>
      <c r="E35" s="1">
        <f t="shared" si="0"/>
        <v>0.16676880707798514</v>
      </c>
      <c r="F35" s="6">
        <f>D35/selection!$F$6</f>
        <v>2.6361556064073226</v>
      </c>
      <c r="G35" s="8">
        <f>ABS(kobe!F35-selection!$H$3)</f>
        <v>0.3030016774514559</v>
      </c>
      <c r="H35">
        <f t="shared" si="1"/>
        <v>14</v>
      </c>
      <c r="I35" s="1">
        <f t="shared" si="2"/>
        <v>0.46079999999999999</v>
      </c>
    </row>
    <row r="36" spans="1:9" x14ac:dyDescent="0.35">
      <c r="A36" t="s">
        <v>15</v>
      </c>
      <c r="B36" t="s">
        <v>3</v>
      </c>
      <c r="C36">
        <v>15</v>
      </c>
      <c r="D36">
        <v>0.52370000000000005</v>
      </c>
      <c r="E36" s="1">
        <f t="shared" si="0"/>
        <v>0.21540462761628035</v>
      </c>
      <c r="F36" s="6">
        <f>D36/selection!$F$6</f>
        <v>2.9959954233409611</v>
      </c>
      <c r="G36" s="8">
        <f>ABS(kobe!F36-selection!$H$3)</f>
        <v>0.66284149438509443</v>
      </c>
      <c r="H36">
        <f t="shared" si="1"/>
        <v>15</v>
      </c>
      <c r="I36" s="1">
        <f t="shared" si="2"/>
        <v>0.52370000000000005</v>
      </c>
    </row>
    <row r="37" spans="1:9" x14ac:dyDescent="0.35">
      <c r="A37" t="s">
        <v>15</v>
      </c>
      <c r="B37" t="s">
        <v>3</v>
      </c>
      <c r="C37">
        <v>16</v>
      </c>
      <c r="D37">
        <v>0.59530000000000005</v>
      </c>
      <c r="E37" s="1">
        <f t="shared" si="0"/>
        <v>0.27833104262694924</v>
      </c>
      <c r="F37" s="6">
        <f>D37/selection!$F$6</f>
        <v>3.4056064073226544</v>
      </c>
      <c r="G37" s="8">
        <f>ABS(kobe!F37-selection!$H$3)</f>
        <v>1.0724524783667877</v>
      </c>
      <c r="H37">
        <f t="shared" si="1"/>
        <v>16</v>
      </c>
      <c r="I37" s="1">
        <f t="shared" si="2"/>
        <v>0.59530000000000005</v>
      </c>
    </row>
    <row r="38" spans="1:9" x14ac:dyDescent="0.35">
      <c r="A38" t="s">
        <v>15</v>
      </c>
      <c r="B38" t="s">
        <v>3</v>
      </c>
      <c r="C38">
        <v>17</v>
      </c>
      <c r="D38">
        <v>0.67649999999999999</v>
      </c>
      <c r="E38" s="1">
        <f t="shared" si="0"/>
        <v>0.35943923662470983</v>
      </c>
      <c r="F38" s="6">
        <f>D38/selection!$F$6</f>
        <v>3.8701372997711667</v>
      </c>
      <c r="G38" s="8">
        <f>ABS(kobe!F38-selection!$H$3)</f>
        <v>1.5369833708153</v>
      </c>
      <c r="H38">
        <f t="shared" si="1"/>
        <v>17</v>
      </c>
      <c r="I38" s="1">
        <f t="shared" si="2"/>
        <v>0.67649999999999999</v>
      </c>
    </row>
    <row r="39" spans="1:9" x14ac:dyDescent="0.35">
      <c r="A39" t="s">
        <v>15</v>
      </c>
      <c r="B39" t="s">
        <v>3</v>
      </c>
      <c r="C39">
        <v>18</v>
      </c>
      <c r="D39">
        <v>0.76880000000000004</v>
      </c>
      <c r="E39" s="1">
        <f t="shared" si="0"/>
        <v>0.4642122862457439</v>
      </c>
      <c r="F39" s="6">
        <f>D39/selection!$F$6</f>
        <v>4.3981693363844396</v>
      </c>
      <c r="G39" s="8">
        <f>ABS(kobe!F39-selection!$H$3)</f>
        <v>2.0650154074285729</v>
      </c>
      <c r="H39">
        <f t="shared" si="1"/>
        <v>18</v>
      </c>
      <c r="I39" s="1">
        <f t="shared" si="2"/>
        <v>0.76880000000000004</v>
      </c>
    </row>
    <row r="40" spans="1:9" x14ac:dyDescent="0.35">
      <c r="A40" t="s">
        <v>15</v>
      </c>
      <c r="B40" t="s">
        <v>3</v>
      </c>
      <c r="C40">
        <v>19</v>
      </c>
      <c r="D40">
        <v>0.87370000000000003</v>
      </c>
      <c r="E40" s="1">
        <f t="shared" si="0"/>
        <v>0.59953501535233833</v>
      </c>
      <c r="F40" s="6">
        <f>D40/selection!$F$6</f>
        <v>4.998283752860412</v>
      </c>
      <c r="G40" s="8">
        <f>ABS(kobe!F40-selection!$H$3)</f>
        <v>2.6651298239045453</v>
      </c>
      <c r="H40">
        <f t="shared" si="1"/>
        <v>19</v>
      </c>
      <c r="I40" s="1">
        <f t="shared" si="2"/>
        <v>0.87370000000000003</v>
      </c>
    </row>
    <row r="41" spans="1:9" x14ac:dyDescent="0.35">
      <c r="A41" t="s">
        <v>15</v>
      </c>
      <c r="B41" t="s">
        <v>3</v>
      </c>
      <c r="C41">
        <v>20</v>
      </c>
      <c r="D41">
        <v>0.9929</v>
      </c>
      <c r="E41" s="1">
        <f t="shared" si="0"/>
        <v>0.77428510139862139</v>
      </c>
      <c r="F41" s="6">
        <f>D41/selection!$F$6</f>
        <v>5.6802059496567505</v>
      </c>
      <c r="G41" s="8">
        <f>ABS(kobe!F41-selection!$H$3)</f>
        <v>3.3470520207008838</v>
      </c>
      <c r="H41">
        <f t="shared" si="1"/>
        <v>20</v>
      </c>
      <c r="I41" s="1">
        <f t="shared" si="2"/>
        <v>0.9929</v>
      </c>
    </row>
    <row r="42" spans="1:9" x14ac:dyDescent="0.35">
      <c r="A42" t="s">
        <v>15</v>
      </c>
      <c r="B42" t="s">
        <v>3</v>
      </c>
      <c r="C42">
        <v>21</v>
      </c>
      <c r="D42">
        <v>1.1284000000000001</v>
      </c>
      <c r="E42" s="1">
        <f t="shared" si="0"/>
        <v>1.0000369257026549</v>
      </c>
      <c r="F42" s="6">
        <f>D42/selection!$F$6</f>
        <v>6.4553775743707096</v>
      </c>
      <c r="G42" s="8">
        <f>ABS(kobe!F42-selection!$H$3)</f>
        <v>4.1222236454148433</v>
      </c>
      <c r="H42">
        <f t="shared" si="1"/>
        <v>21</v>
      </c>
      <c r="I42" s="1">
        <f t="shared" si="2"/>
        <v>1.1284000000000001</v>
      </c>
    </row>
    <row r="43" spans="1:9" x14ac:dyDescent="0.35">
      <c r="A43" t="s">
        <v>15</v>
      </c>
      <c r="B43" t="s">
        <v>3</v>
      </c>
      <c r="C43">
        <v>22</v>
      </c>
      <c r="D43">
        <v>1.2824</v>
      </c>
      <c r="E43" s="1">
        <f t="shared" si="0"/>
        <v>1.2916263611197143</v>
      </c>
      <c r="F43" s="6">
        <f>D43/selection!$F$6</f>
        <v>7.336384439359267</v>
      </c>
      <c r="G43" s="8">
        <f>ABS(kobe!F43-selection!$H$3)</f>
        <v>5.0032305104033998</v>
      </c>
      <c r="H43">
        <f t="shared" si="1"/>
        <v>22</v>
      </c>
      <c r="I43" s="1">
        <f t="shared" si="2"/>
        <v>1.2824</v>
      </c>
    </row>
    <row r="44" spans="1:9" x14ac:dyDescent="0.35">
      <c r="A44" t="s">
        <v>15</v>
      </c>
      <c r="B44" t="s">
        <v>3</v>
      </c>
      <c r="C44">
        <v>23</v>
      </c>
      <c r="D44">
        <v>1.4574</v>
      </c>
      <c r="E44" s="1">
        <f t="shared" si="0"/>
        <v>1.6681972915330721</v>
      </c>
      <c r="F44" s="6">
        <f>D44/selection!$F$6</f>
        <v>8.337528604118992</v>
      </c>
      <c r="G44" s="8">
        <f>ABS(kobe!F44-selection!$H$3)</f>
        <v>6.0043746751631257</v>
      </c>
      <c r="H44">
        <f t="shared" si="1"/>
        <v>23</v>
      </c>
      <c r="I44" s="1">
        <f t="shared" si="2"/>
        <v>1.4574</v>
      </c>
    </row>
    <row r="45" spans="1:9" x14ac:dyDescent="0.35">
      <c r="A45" t="s">
        <v>15</v>
      </c>
      <c r="B45" t="s">
        <v>3</v>
      </c>
      <c r="C45">
        <v>24</v>
      </c>
      <c r="D45">
        <v>1.6561999999999999</v>
      </c>
      <c r="E45" s="1">
        <f t="shared" si="0"/>
        <v>2.1543459369780655</v>
      </c>
      <c r="F45" s="6">
        <f>D45/selection!$F$6</f>
        <v>9.4748283752860392</v>
      </c>
      <c r="G45" s="8">
        <f>ABS(kobe!F45-selection!$H$3)</f>
        <v>7.1416744463301729</v>
      </c>
      <c r="H45">
        <f t="shared" si="1"/>
        <v>24</v>
      </c>
      <c r="I45" s="1">
        <f t="shared" si="2"/>
        <v>1.6561999999999999</v>
      </c>
    </row>
  </sheetData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D234-02C7-4948-A65C-66E23E3E99A1}">
  <dimension ref="A1:I26"/>
  <sheetViews>
    <sheetView workbookViewId="0">
      <selection activeCell="H30" sqref="H30"/>
    </sheetView>
  </sheetViews>
  <sheetFormatPr defaultRowHeight="14.5" x14ac:dyDescent="0.35"/>
  <cols>
    <col min="2" max="2" width="6.1796875" bestFit="1" customWidth="1"/>
    <col min="3" max="3" width="7.453125" bestFit="1" customWidth="1"/>
    <col min="4" max="4" width="6.81640625" bestFit="1" customWidth="1"/>
    <col min="5" max="5" width="8.1796875" bestFit="1" customWidth="1"/>
  </cols>
  <sheetData>
    <row r="1" spans="1:9" x14ac:dyDescent="0.35">
      <c r="A1" t="s">
        <v>1</v>
      </c>
      <c r="B1" t="s">
        <v>17</v>
      </c>
      <c r="C1" t="s">
        <v>7</v>
      </c>
      <c r="D1" t="s">
        <v>18</v>
      </c>
      <c r="E1" t="s">
        <v>19</v>
      </c>
      <c r="F1" t="s">
        <v>25</v>
      </c>
      <c r="G1" t="s">
        <v>26</v>
      </c>
      <c r="H1" t="s">
        <v>7</v>
      </c>
      <c r="I1" t="s">
        <v>18</v>
      </c>
    </row>
    <row r="2" spans="1:9" x14ac:dyDescent="0.35">
      <c r="A2" t="s">
        <v>16</v>
      </c>
      <c r="B2" t="s">
        <v>2</v>
      </c>
      <c r="C2">
        <v>1</v>
      </c>
      <c r="D2">
        <v>6.7199999999999996E-2</v>
      </c>
      <c r="E2" s="1">
        <f>PI()*D2^2/4</f>
        <v>3.5467324421967323E-3</v>
      </c>
      <c r="G2">
        <f>ABS(selection!$F$3-petrolift!D2)</f>
        <v>0.1186</v>
      </c>
      <c r="H2">
        <f>C2</f>
        <v>1</v>
      </c>
      <c r="I2">
        <f>D2</f>
        <v>6.7199999999999996E-2</v>
      </c>
    </row>
    <row r="3" spans="1:9" x14ac:dyDescent="0.35">
      <c r="A3" t="s">
        <v>16</v>
      </c>
      <c r="B3" t="s">
        <v>2</v>
      </c>
      <c r="C3">
        <v>2</v>
      </c>
      <c r="D3">
        <v>7.5200000000000003E-2</v>
      </c>
      <c r="E3" s="1">
        <f t="shared" ref="E3:E26" si="0">PI()*D3^2/4</f>
        <v>4.4414580299391056E-3</v>
      </c>
      <c r="G3">
        <f>ABS(selection!$F$3-petrolift!D3)</f>
        <v>0.11059999999999999</v>
      </c>
      <c r="H3">
        <f t="shared" ref="H3:H26" si="1">C3</f>
        <v>2</v>
      </c>
      <c r="I3">
        <f t="shared" ref="I3:I26" si="2">D3</f>
        <v>7.5200000000000003E-2</v>
      </c>
    </row>
    <row r="4" spans="1:9" x14ac:dyDescent="0.35">
      <c r="A4" t="s">
        <v>16</v>
      </c>
      <c r="B4" t="s">
        <v>2</v>
      </c>
      <c r="C4">
        <v>3</v>
      </c>
      <c r="D4">
        <v>8.4099999999999994E-2</v>
      </c>
      <c r="E4" s="1">
        <f t="shared" si="0"/>
        <v>5.5549719840591056E-3</v>
      </c>
      <c r="G4">
        <f>ABS(selection!$F$3-petrolift!D4)</f>
        <v>0.1017</v>
      </c>
      <c r="H4">
        <f t="shared" si="1"/>
        <v>3</v>
      </c>
      <c r="I4">
        <f t="shared" si="2"/>
        <v>8.4099999999999994E-2</v>
      </c>
    </row>
    <row r="5" spans="1:9" x14ac:dyDescent="0.35">
      <c r="A5" t="s">
        <v>16</v>
      </c>
      <c r="B5" t="s">
        <v>2</v>
      </c>
      <c r="C5">
        <v>4</v>
      </c>
      <c r="D5">
        <v>9.4E-2</v>
      </c>
      <c r="E5" s="1">
        <f t="shared" si="0"/>
        <v>6.9397781717798531E-3</v>
      </c>
      <c r="G5">
        <f>ABS(selection!$F$3-petrolift!D5)</f>
        <v>9.1799999999999993E-2</v>
      </c>
      <c r="H5">
        <f t="shared" si="1"/>
        <v>4</v>
      </c>
      <c r="I5">
        <f t="shared" si="2"/>
        <v>9.4E-2</v>
      </c>
    </row>
    <row r="6" spans="1:9" x14ac:dyDescent="0.35">
      <c r="A6" t="s">
        <v>16</v>
      </c>
      <c r="B6" t="s">
        <v>2</v>
      </c>
      <c r="C6">
        <v>5</v>
      </c>
      <c r="D6">
        <v>0.1051</v>
      </c>
      <c r="E6" s="1">
        <f t="shared" si="0"/>
        <v>8.675515966869848E-3</v>
      </c>
      <c r="G6">
        <f>ABS(selection!$F$3-petrolift!D6)</f>
        <v>8.0699999999999994E-2</v>
      </c>
      <c r="H6">
        <f t="shared" si="1"/>
        <v>5</v>
      </c>
      <c r="I6">
        <f t="shared" si="2"/>
        <v>0.1051</v>
      </c>
    </row>
    <row r="7" spans="1:9" x14ac:dyDescent="0.35">
      <c r="A7" t="s">
        <v>16</v>
      </c>
      <c r="B7" t="s">
        <v>2</v>
      </c>
      <c r="C7">
        <v>6</v>
      </c>
      <c r="D7">
        <v>0.1174</v>
      </c>
      <c r="E7" s="1">
        <f t="shared" si="0"/>
        <v>1.0824954390547816E-2</v>
      </c>
      <c r="G7">
        <f>ABS(selection!$F$3-petrolift!D7)</f>
        <v>6.8399999999999989E-2</v>
      </c>
      <c r="H7">
        <f t="shared" si="1"/>
        <v>6</v>
      </c>
      <c r="I7">
        <f t="shared" si="2"/>
        <v>0.1174</v>
      </c>
    </row>
    <row r="8" spans="1:9" x14ac:dyDescent="0.35">
      <c r="A8" t="s">
        <v>16</v>
      </c>
      <c r="B8" t="s">
        <v>2</v>
      </c>
      <c r="C8">
        <v>7</v>
      </c>
      <c r="D8">
        <v>0.1313</v>
      </c>
      <c r="E8" s="1">
        <f t="shared" si="0"/>
        <v>1.3540020863541355E-2</v>
      </c>
      <c r="G8">
        <f>ABS(selection!$F$3-petrolift!D8)</f>
        <v>5.4499999999999993E-2</v>
      </c>
      <c r="H8">
        <f t="shared" si="1"/>
        <v>7</v>
      </c>
      <c r="I8">
        <f t="shared" si="2"/>
        <v>0.1313</v>
      </c>
    </row>
    <row r="9" spans="1:9" x14ac:dyDescent="0.35">
      <c r="A9" t="s">
        <v>16</v>
      </c>
      <c r="B9" t="s">
        <v>2</v>
      </c>
      <c r="C9">
        <v>8</v>
      </c>
      <c r="D9">
        <v>0.14680000000000001</v>
      </c>
      <c r="E9" s="1">
        <f t="shared" si="0"/>
        <v>1.692551891677423E-2</v>
      </c>
      <c r="G9">
        <f>ABS(selection!$F$3-petrolift!D9)</f>
        <v>3.8999999999999979E-2</v>
      </c>
      <c r="H9">
        <f t="shared" si="1"/>
        <v>8</v>
      </c>
      <c r="I9">
        <f t="shared" si="2"/>
        <v>0.14680000000000001</v>
      </c>
    </row>
    <row r="10" spans="1:9" x14ac:dyDescent="0.35">
      <c r="A10" t="s">
        <v>16</v>
      </c>
      <c r="B10" t="s">
        <v>2</v>
      </c>
      <c r="C10">
        <v>9</v>
      </c>
      <c r="D10">
        <v>0.1641</v>
      </c>
      <c r="E10" s="1">
        <f t="shared" si="0"/>
        <v>2.1149837916478838E-2</v>
      </c>
      <c r="G10">
        <f>ABS(selection!$F$3-petrolift!D10)</f>
        <v>2.1699999999999997E-2</v>
      </c>
      <c r="H10">
        <f t="shared" si="1"/>
        <v>9</v>
      </c>
      <c r="I10">
        <f t="shared" si="2"/>
        <v>0.1641</v>
      </c>
    </row>
    <row r="11" spans="1:9" x14ac:dyDescent="0.35">
      <c r="A11" t="s">
        <v>16</v>
      </c>
      <c r="B11" t="s">
        <v>2</v>
      </c>
      <c r="C11">
        <v>10</v>
      </c>
      <c r="D11">
        <v>0.1835</v>
      </c>
      <c r="E11" s="1">
        <f t="shared" si="0"/>
        <v>2.644612330745973E-2</v>
      </c>
      <c r="G11">
        <f>ABS(selection!$F$3-petrolift!D11)</f>
        <v>2.2999999999999965E-3</v>
      </c>
      <c r="H11">
        <f t="shared" si="1"/>
        <v>10</v>
      </c>
      <c r="I11">
        <f t="shared" si="2"/>
        <v>0.1835</v>
      </c>
    </row>
    <row r="12" spans="1:9" x14ac:dyDescent="0.35">
      <c r="A12" t="s">
        <v>16</v>
      </c>
      <c r="B12" t="s">
        <v>2</v>
      </c>
      <c r="C12">
        <v>11</v>
      </c>
      <c r="D12">
        <v>0.21329999999999999</v>
      </c>
      <c r="E12" s="1">
        <f t="shared" si="0"/>
        <v>3.5733173846295728E-2</v>
      </c>
      <c r="G12">
        <f>ABS(selection!$F$3-petrolift!D12)</f>
        <v>2.7499999999999997E-2</v>
      </c>
      <c r="H12">
        <f t="shared" si="1"/>
        <v>11</v>
      </c>
      <c r="I12">
        <f t="shared" si="2"/>
        <v>0.21329999999999999</v>
      </c>
    </row>
    <row r="13" spans="1:9" x14ac:dyDescent="0.35">
      <c r="A13" t="s">
        <v>16</v>
      </c>
      <c r="B13" t="s">
        <v>3</v>
      </c>
      <c r="C13">
        <v>1</v>
      </c>
      <c r="D13">
        <v>9.6000000000000002E-2</v>
      </c>
      <c r="E13" s="1">
        <f t="shared" si="0"/>
        <v>7.2382294738708832E-3</v>
      </c>
      <c r="F13">
        <f>D13/selection!$F$7</f>
        <v>0.52316076294277936</v>
      </c>
      <c r="G13">
        <f>ABS(F13-selection!$H$3)</f>
        <v>1.8099931660130872</v>
      </c>
      <c r="H13">
        <f t="shared" si="1"/>
        <v>1</v>
      </c>
      <c r="I13">
        <f t="shared" si="2"/>
        <v>9.6000000000000002E-2</v>
      </c>
    </row>
    <row r="14" spans="1:9" x14ac:dyDescent="0.35">
      <c r="A14" t="s">
        <v>16</v>
      </c>
      <c r="B14" t="s">
        <v>3</v>
      </c>
      <c r="C14">
        <v>2</v>
      </c>
      <c r="D14">
        <v>0.10730000000000001</v>
      </c>
      <c r="E14" s="1">
        <f t="shared" si="0"/>
        <v>9.042516820662207E-3</v>
      </c>
      <c r="F14">
        <f>D14/selection!$F$7</f>
        <v>0.58474114441416902</v>
      </c>
      <c r="G14">
        <f>ABS(F14-selection!$H$3)</f>
        <v>1.7484127845416977</v>
      </c>
      <c r="H14">
        <f t="shared" si="1"/>
        <v>2</v>
      </c>
      <c r="I14">
        <f t="shared" si="2"/>
        <v>0.10730000000000001</v>
      </c>
    </row>
    <row r="15" spans="1:9" x14ac:dyDescent="0.35">
      <c r="A15" t="s">
        <v>16</v>
      </c>
      <c r="B15" t="s">
        <v>3</v>
      </c>
      <c r="C15">
        <v>3</v>
      </c>
      <c r="D15">
        <v>0.12</v>
      </c>
      <c r="E15" s="1">
        <f t="shared" si="0"/>
        <v>1.1309733552923255E-2</v>
      </c>
      <c r="F15">
        <f>D15/selection!$F$7</f>
        <v>0.65395095367847411</v>
      </c>
      <c r="G15">
        <f>ABS(F15-selection!$H$3)</f>
        <v>1.6792029752773927</v>
      </c>
      <c r="H15">
        <f t="shared" si="1"/>
        <v>3</v>
      </c>
      <c r="I15">
        <f t="shared" si="2"/>
        <v>0.12</v>
      </c>
    </row>
    <row r="16" spans="1:9" x14ac:dyDescent="0.35">
      <c r="A16" t="s">
        <v>16</v>
      </c>
      <c r="B16" t="s">
        <v>3</v>
      </c>
      <c r="C16">
        <v>4</v>
      </c>
      <c r="D16">
        <v>0.1341</v>
      </c>
      <c r="E16" s="1">
        <f t="shared" si="0"/>
        <v>1.4123665946725266E-2</v>
      </c>
      <c r="F16">
        <f>D16/selection!$F$7</f>
        <v>0.73079019073569484</v>
      </c>
      <c r="G16">
        <f>ABS(F16-selection!$H$3)</f>
        <v>1.6023637382201719</v>
      </c>
      <c r="H16">
        <f t="shared" si="1"/>
        <v>4</v>
      </c>
      <c r="I16">
        <f t="shared" si="2"/>
        <v>0.1341</v>
      </c>
    </row>
    <row r="17" spans="1:9" x14ac:dyDescent="0.35">
      <c r="A17" t="s">
        <v>16</v>
      </c>
      <c r="B17" t="s">
        <v>3</v>
      </c>
      <c r="C17">
        <v>5</v>
      </c>
      <c r="D17">
        <v>0.15</v>
      </c>
      <c r="E17" s="1">
        <f t="shared" si="0"/>
        <v>1.7671458676442587E-2</v>
      </c>
      <c r="F17">
        <f>D17/selection!$F$7</f>
        <v>0.81743869209809261</v>
      </c>
      <c r="G17">
        <f>ABS(F17-selection!$H$3)</f>
        <v>1.515715236857774</v>
      </c>
      <c r="H17">
        <f t="shared" si="1"/>
        <v>5</v>
      </c>
      <c r="I17">
        <f t="shared" si="2"/>
        <v>0.15</v>
      </c>
    </row>
    <row r="18" spans="1:9" x14ac:dyDescent="0.35">
      <c r="A18" t="s">
        <v>16</v>
      </c>
      <c r="B18" t="s">
        <v>3</v>
      </c>
      <c r="C18">
        <v>6</v>
      </c>
      <c r="D18">
        <v>0.16769999999999999</v>
      </c>
      <c r="E18" s="1">
        <f t="shared" si="0"/>
        <v>2.208798031469382E-2</v>
      </c>
      <c r="F18">
        <f>D18/selection!$F$7</f>
        <v>0.91389645776566752</v>
      </c>
      <c r="G18">
        <f>ABS(F18-selection!$H$3)</f>
        <v>1.4192574711901993</v>
      </c>
      <c r="H18">
        <f t="shared" si="1"/>
        <v>6</v>
      </c>
      <c r="I18">
        <f t="shared" si="2"/>
        <v>0.16769999999999999</v>
      </c>
    </row>
    <row r="19" spans="1:9" x14ac:dyDescent="0.35">
      <c r="A19" t="s">
        <v>16</v>
      </c>
      <c r="B19" t="s">
        <v>3</v>
      </c>
      <c r="C19">
        <v>7</v>
      </c>
      <c r="D19">
        <v>0.1875</v>
      </c>
      <c r="E19" s="1">
        <f t="shared" si="0"/>
        <v>2.7611654181941541E-2</v>
      </c>
      <c r="F19">
        <f>D19/selection!$F$7</f>
        <v>1.0217983651226159</v>
      </c>
      <c r="G19">
        <f>ABS(F19-selection!$H$3)</f>
        <v>1.3113555638332508</v>
      </c>
      <c r="H19">
        <f t="shared" si="1"/>
        <v>7</v>
      </c>
      <c r="I19">
        <f t="shared" si="2"/>
        <v>0.1875</v>
      </c>
    </row>
    <row r="20" spans="1:9" x14ac:dyDescent="0.35">
      <c r="A20" t="s">
        <v>16</v>
      </c>
      <c r="B20" t="s">
        <v>3</v>
      </c>
      <c r="C20">
        <v>8</v>
      </c>
      <c r="D20">
        <v>0.20960000000000001</v>
      </c>
      <c r="E20" s="1">
        <f t="shared" si="0"/>
        <v>3.4504237778082848E-2</v>
      </c>
      <c r="F20">
        <f>D20/selection!$F$7</f>
        <v>1.1422343324250681</v>
      </c>
      <c r="G20">
        <f>ABS(F20-selection!$H$3)</f>
        <v>1.1909195965307986</v>
      </c>
      <c r="H20">
        <f t="shared" si="1"/>
        <v>8</v>
      </c>
      <c r="I20">
        <f t="shared" si="2"/>
        <v>0.20960000000000001</v>
      </c>
    </row>
    <row r="21" spans="1:9" x14ac:dyDescent="0.35">
      <c r="A21" t="s">
        <v>16</v>
      </c>
      <c r="B21" t="s">
        <v>3</v>
      </c>
      <c r="C21">
        <v>9</v>
      </c>
      <c r="D21">
        <v>0.23430000000000001</v>
      </c>
      <c r="E21" s="1">
        <f t="shared" si="0"/>
        <v>4.3115602422966387E-2</v>
      </c>
      <c r="F21">
        <f>D21/selection!$F$7</f>
        <v>1.2768392370572208</v>
      </c>
      <c r="G21">
        <f>ABS(F21-selection!$H$3)</f>
        <v>1.0563146918986459</v>
      </c>
      <c r="H21">
        <f t="shared" si="1"/>
        <v>9</v>
      </c>
      <c r="I21">
        <f t="shared" si="2"/>
        <v>0.23430000000000001</v>
      </c>
    </row>
    <row r="22" spans="1:9" x14ac:dyDescent="0.35">
      <c r="A22" t="s">
        <v>16</v>
      </c>
      <c r="B22" t="s">
        <v>3</v>
      </c>
      <c r="C22">
        <v>10</v>
      </c>
      <c r="D22">
        <v>0.26200000000000001</v>
      </c>
      <c r="E22" s="1">
        <f t="shared" si="0"/>
        <v>5.3912871528254448E-2</v>
      </c>
      <c r="F22">
        <f>D22/selection!$F$7</f>
        <v>1.4277929155313351</v>
      </c>
      <c r="G22">
        <f>ABS(F22-selection!$H$3)</f>
        <v>0.90536101342453157</v>
      </c>
      <c r="H22">
        <f t="shared" si="1"/>
        <v>10</v>
      </c>
      <c r="I22">
        <f t="shared" si="2"/>
        <v>0.26200000000000001</v>
      </c>
    </row>
    <row r="23" spans="1:9" x14ac:dyDescent="0.35">
      <c r="A23" t="s">
        <v>16</v>
      </c>
      <c r="B23" t="s">
        <v>3</v>
      </c>
      <c r="C23">
        <v>11</v>
      </c>
      <c r="D23">
        <v>0.29289999999999999</v>
      </c>
      <c r="E23" s="1">
        <f t="shared" si="0"/>
        <v>6.7379630451114073E-2</v>
      </c>
      <c r="F23">
        <f>D23/selection!$F$7</f>
        <v>1.5961852861035422</v>
      </c>
      <c r="G23">
        <f>ABS(F23-selection!$H$3)</f>
        <v>0.73696864285232455</v>
      </c>
      <c r="H23">
        <f t="shared" si="1"/>
        <v>11</v>
      </c>
      <c r="I23">
        <f t="shared" si="2"/>
        <v>0.29289999999999999</v>
      </c>
    </row>
    <row r="24" spans="1:9" x14ac:dyDescent="0.35">
      <c r="A24" t="s">
        <v>16</v>
      </c>
      <c r="B24" t="s">
        <v>3</v>
      </c>
      <c r="C24">
        <v>12</v>
      </c>
      <c r="D24">
        <v>0.32750000000000001</v>
      </c>
      <c r="E24" s="1">
        <f t="shared" si="0"/>
        <v>8.4238861762897577E-2</v>
      </c>
      <c r="F24">
        <f>D24/selection!$F$7</f>
        <v>1.784741144414169</v>
      </c>
      <c r="G24">
        <f>ABS(F24-selection!$H$3)</f>
        <v>0.54841278454169773</v>
      </c>
      <c r="H24">
        <f t="shared" si="1"/>
        <v>12</v>
      </c>
      <c r="I24">
        <f t="shared" si="2"/>
        <v>0.32750000000000001</v>
      </c>
    </row>
    <row r="25" spans="1:9" x14ac:dyDescent="0.35">
      <c r="A25" t="s">
        <v>16</v>
      </c>
      <c r="B25" t="s">
        <v>3</v>
      </c>
      <c r="C25">
        <v>13</v>
      </c>
      <c r="D25">
        <v>0.36609999999999998</v>
      </c>
      <c r="E25" s="1">
        <f>PI()*D25^2/4</f>
        <v>0.1052662953756109</v>
      </c>
      <c r="F25">
        <f>D25/selection!$F$7</f>
        <v>1.9950953678474115</v>
      </c>
      <c r="G25">
        <f>ABS(F25-selection!$H$3)</f>
        <v>0.33805856110845522</v>
      </c>
      <c r="H25">
        <f t="shared" si="1"/>
        <v>13</v>
      </c>
      <c r="I25">
        <f t="shared" si="2"/>
        <v>0.36609999999999998</v>
      </c>
    </row>
    <row r="26" spans="1:9" x14ac:dyDescent="0.35">
      <c r="A26" t="s">
        <v>16</v>
      </c>
      <c r="B26" t="s">
        <v>3</v>
      </c>
      <c r="C26">
        <v>14</v>
      </c>
      <c r="D26">
        <v>0.4093</v>
      </c>
      <c r="E26" s="1">
        <f t="shared" si="0"/>
        <v>0.13157499756642099</v>
      </c>
      <c r="F26">
        <f>D26/selection!$F$7</f>
        <v>2.2305177111716623</v>
      </c>
      <c r="G26">
        <f>ABS(F26-selection!$H$3)</f>
        <v>0.1026362177842044</v>
      </c>
      <c r="H26">
        <f t="shared" si="1"/>
        <v>14</v>
      </c>
      <c r="I26">
        <f t="shared" si="2"/>
        <v>0.4093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background</vt:lpstr>
      <vt:lpstr>selection</vt:lpstr>
      <vt:lpstr>national</vt:lpstr>
      <vt:lpstr>guiberson</vt:lpstr>
      <vt:lpstr>kobe</vt:lpstr>
      <vt:lpstr>petrolift</vt:lpstr>
    </vt:vector>
  </TitlesOfParts>
  <Manager/>
  <Company>Hilcorp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ka9612</dc:creator>
  <cp:keywords/>
  <dc:description/>
  <cp:lastModifiedBy>Kaelin Ellis</cp:lastModifiedBy>
  <cp:revision/>
  <dcterms:created xsi:type="dcterms:W3CDTF">2023-09-07T17:00:27Z</dcterms:created>
  <dcterms:modified xsi:type="dcterms:W3CDTF">2026-03-23T18:43:19Z</dcterms:modified>
  <cp:category/>
  <cp:contentStatus/>
</cp:coreProperties>
</file>